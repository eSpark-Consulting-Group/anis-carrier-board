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eSpark-Consultants\anis-carrierboard\Design-Files\Carrier-Board-v1.0\BOM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0" i="1" l="1"/>
  <c r="B166" i="1" l="1"/>
  <c r="B165" i="1"/>
  <c r="B164" i="1"/>
  <c r="N163" i="1"/>
  <c r="B163" i="1"/>
  <c r="N162" i="1"/>
  <c r="B162" i="1"/>
  <c r="N161" i="1"/>
  <c r="B161" i="1"/>
  <c r="N160" i="1"/>
  <c r="B160" i="1"/>
  <c r="N159" i="1"/>
  <c r="K159" i="1"/>
  <c r="B159" i="1"/>
  <c r="K158" i="1"/>
  <c r="N158" i="1" s="1"/>
  <c r="B158" i="1"/>
  <c r="K157" i="1"/>
  <c r="N157" i="1" s="1"/>
  <c r="B157" i="1"/>
  <c r="K156" i="1"/>
  <c r="N156" i="1" s="1"/>
  <c r="B156" i="1"/>
  <c r="N155" i="1"/>
  <c r="K155" i="1"/>
  <c r="B155" i="1"/>
  <c r="K154" i="1"/>
  <c r="N154" i="1" s="1"/>
  <c r="B154" i="1"/>
  <c r="K153" i="1"/>
  <c r="N153" i="1" s="1"/>
  <c r="B153" i="1"/>
  <c r="K152" i="1"/>
  <c r="N152" i="1" s="1"/>
  <c r="B152" i="1"/>
  <c r="N151" i="1"/>
  <c r="K151" i="1"/>
  <c r="B151" i="1"/>
  <c r="K150" i="1"/>
  <c r="N150" i="1" s="1"/>
  <c r="B150" i="1"/>
  <c r="K149" i="1"/>
  <c r="N149" i="1" s="1"/>
  <c r="B149" i="1"/>
  <c r="K148" i="1"/>
  <c r="N148" i="1" s="1"/>
  <c r="B148" i="1"/>
  <c r="N147" i="1"/>
  <c r="K147" i="1"/>
  <c r="B147" i="1"/>
  <c r="K146" i="1"/>
  <c r="N146" i="1" s="1"/>
  <c r="B146" i="1"/>
  <c r="K145" i="1"/>
  <c r="N145" i="1" s="1"/>
  <c r="B145" i="1"/>
  <c r="K144" i="1"/>
  <c r="N144" i="1" s="1"/>
  <c r="B144" i="1"/>
  <c r="N143" i="1"/>
  <c r="K143" i="1"/>
  <c r="B143" i="1"/>
  <c r="K142" i="1"/>
  <c r="N142" i="1" s="1"/>
  <c r="B142" i="1"/>
  <c r="K141" i="1"/>
  <c r="N141" i="1" s="1"/>
  <c r="B141" i="1"/>
  <c r="K140" i="1"/>
  <c r="N140" i="1" s="1"/>
  <c r="B140" i="1"/>
  <c r="N139" i="1"/>
  <c r="K139" i="1"/>
  <c r="B139" i="1"/>
  <c r="K138" i="1"/>
  <c r="N138" i="1" s="1"/>
  <c r="B138" i="1"/>
  <c r="K137" i="1"/>
  <c r="N137" i="1" s="1"/>
  <c r="B137" i="1"/>
  <c r="K136" i="1"/>
  <c r="N136" i="1" s="1"/>
  <c r="B136" i="1"/>
  <c r="N135" i="1"/>
  <c r="K135" i="1"/>
  <c r="B135" i="1"/>
  <c r="K134" i="1"/>
  <c r="N134" i="1" s="1"/>
  <c r="B134" i="1"/>
  <c r="K133" i="1"/>
  <c r="N133" i="1" s="1"/>
  <c r="B133" i="1"/>
  <c r="K132" i="1"/>
  <c r="N132" i="1" s="1"/>
  <c r="B132" i="1"/>
  <c r="N131" i="1"/>
  <c r="K131" i="1"/>
  <c r="B131" i="1"/>
  <c r="K130" i="1"/>
  <c r="N130" i="1" s="1"/>
  <c r="B130" i="1"/>
  <c r="K129" i="1"/>
  <c r="N129" i="1" s="1"/>
  <c r="B129" i="1"/>
  <c r="K128" i="1"/>
  <c r="N128" i="1" s="1"/>
  <c r="B128" i="1"/>
  <c r="N127" i="1"/>
  <c r="K127" i="1"/>
  <c r="B127" i="1"/>
  <c r="K126" i="1"/>
  <c r="N126" i="1" s="1"/>
  <c r="B126" i="1"/>
  <c r="K125" i="1"/>
  <c r="N125" i="1" s="1"/>
  <c r="B125" i="1"/>
  <c r="K124" i="1"/>
  <c r="N124" i="1" s="1"/>
  <c r="B124" i="1"/>
  <c r="N123" i="1"/>
  <c r="K123" i="1"/>
  <c r="B123" i="1"/>
  <c r="K122" i="1"/>
  <c r="N122" i="1" s="1"/>
  <c r="B122" i="1"/>
  <c r="K121" i="1"/>
  <c r="B121" i="1"/>
  <c r="N120" i="1"/>
  <c r="K120" i="1"/>
  <c r="B120" i="1"/>
  <c r="K119" i="1"/>
  <c r="N119" i="1" s="1"/>
  <c r="B119" i="1"/>
  <c r="K118" i="1"/>
  <c r="N118" i="1" s="1"/>
  <c r="B118" i="1"/>
  <c r="K117" i="1"/>
  <c r="N117" i="1" s="1"/>
  <c r="B117" i="1"/>
  <c r="N116" i="1"/>
  <c r="K116" i="1"/>
  <c r="B116" i="1"/>
  <c r="K115" i="1"/>
  <c r="N115" i="1" s="1"/>
  <c r="B115" i="1"/>
  <c r="K114" i="1"/>
  <c r="N114" i="1" s="1"/>
  <c r="B114" i="1"/>
  <c r="K113" i="1"/>
  <c r="N113" i="1" s="1"/>
  <c r="B113" i="1"/>
  <c r="N112" i="1"/>
  <c r="K112" i="1"/>
  <c r="B112" i="1"/>
  <c r="K111" i="1"/>
  <c r="N111" i="1" s="1"/>
  <c r="B111" i="1"/>
  <c r="K110" i="1"/>
  <c r="B110" i="1"/>
  <c r="N109" i="1"/>
  <c r="K109" i="1"/>
  <c r="B109" i="1"/>
  <c r="K108" i="1"/>
  <c r="N108" i="1" s="1"/>
  <c r="B108" i="1"/>
  <c r="K107" i="1"/>
  <c r="B107" i="1"/>
  <c r="K106" i="1"/>
  <c r="N106" i="1" s="1"/>
  <c r="B106" i="1"/>
  <c r="K105" i="1"/>
  <c r="N105" i="1" s="1"/>
  <c r="B105" i="1"/>
  <c r="K104" i="1"/>
  <c r="N104" i="1" s="1"/>
  <c r="B104" i="1"/>
  <c r="N103" i="1"/>
  <c r="K103" i="1"/>
  <c r="B103" i="1"/>
  <c r="K102" i="1"/>
  <c r="N102" i="1" s="1"/>
  <c r="B102" i="1"/>
  <c r="K101" i="1"/>
  <c r="N101" i="1" s="1"/>
  <c r="B101" i="1"/>
  <c r="K100" i="1"/>
  <c r="N100" i="1" s="1"/>
  <c r="B100" i="1"/>
  <c r="N99" i="1"/>
  <c r="K99" i="1"/>
  <c r="B99" i="1"/>
  <c r="K98" i="1"/>
  <c r="N98" i="1" s="1"/>
  <c r="B98" i="1"/>
  <c r="K97" i="1"/>
  <c r="N97" i="1" s="1"/>
  <c r="B97" i="1"/>
  <c r="K96" i="1"/>
  <c r="N96" i="1" s="1"/>
  <c r="B96" i="1"/>
  <c r="N95" i="1"/>
  <c r="K95" i="1"/>
  <c r="B95" i="1"/>
  <c r="K94" i="1"/>
  <c r="B94" i="1"/>
  <c r="K93" i="1"/>
  <c r="N93" i="1" s="1"/>
  <c r="B93" i="1"/>
  <c r="N92" i="1"/>
  <c r="K92" i="1"/>
  <c r="B92" i="1"/>
  <c r="K91" i="1"/>
  <c r="N91" i="1" s="1"/>
  <c r="B91" i="1"/>
  <c r="K90" i="1"/>
  <c r="N90" i="1" s="1"/>
  <c r="B90" i="1"/>
  <c r="K89" i="1"/>
  <c r="N89" i="1" s="1"/>
  <c r="B89" i="1"/>
  <c r="N88" i="1"/>
  <c r="K88" i="1"/>
  <c r="B88" i="1"/>
  <c r="K87" i="1"/>
  <c r="N87" i="1" s="1"/>
  <c r="B87" i="1"/>
  <c r="K86" i="1"/>
  <c r="N86" i="1" s="1"/>
  <c r="B86" i="1"/>
  <c r="K85" i="1"/>
  <c r="N85" i="1" s="1"/>
  <c r="B85" i="1"/>
  <c r="N84" i="1"/>
  <c r="K84" i="1"/>
  <c r="B84" i="1"/>
  <c r="K83" i="1"/>
  <c r="N83" i="1" s="1"/>
  <c r="B83" i="1"/>
  <c r="K82" i="1"/>
  <c r="N82" i="1" s="1"/>
  <c r="B82" i="1"/>
  <c r="K81" i="1"/>
  <c r="N81" i="1" s="1"/>
  <c r="B81" i="1"/>
  <c r="N80" i="1"/>
  <c r="K80" i="1"/>
  <c r="B80" i="1"/>
  <c r="K79" i="1"/>
  <c r="N79" i="1" s="1"/>
  <c r="B79" i="1"/>
  <c r="K78" i="1"/>
  <c r="N78" i="1" s="1"/>
  <c r="B78" i="1"/>
  <c r="K77" i="1"/>
  <c r="N77" i="1" s="1"/>
  <c r="B77" i="1"/>
  <c r="N76" i="1"/>
  <c r="K76" i="1"/>
  <c r="B76" i="1"/>
  <c r="K75" i="1"/>
  <c r="N75" i="1" s="1"/>
  <c r="B75" i="1"/>
  <c r="K74" i="1"/>
  <c r="N74" i="1" s="1"/>
  <c r="B74" i="1"/>
  <c r="K73" i="1"/>
  <c r="N73" i="1" s="1"/>
  <c r="B73" i="1"/>
  <c r="N72" i="1"/>
  <c r="K72" i="1"/>
  <c r="B72" i="1"/>
  <c r="K71" i="1"/>
  <c r="N71" i="1" s="1"/>
  <c r="B71" i="1"/>
  <c r="K70" i="1"/>
  <c r="N70" i="1" s="1"/>
  <c r="B70" i="1"/>
  <c r="K69" i="1"/>
  <c r="N69" i="1" s="1"/>
  <c r="B69" i="1"/>
  <c r="N68" i="1"/>
  <c r="K68" i="1"/>
  <c r="B68" i="1"/>
  <c r="K67" i="1"/>
  <c r="N67" i="1" s="1"/>
  <c r="B67" i="1"/>
  <c r="K66" i="1"/>
  <c r="N66" i="1" s="1"/>
  <c r="B66" i="1"/>
  <c r="K65" i="1"/>
  <c r="N65" i="1" s="1"/>
  <c r="B65" i="1"/>
  <c r="N64" i="1"/>
  <c r="K64" i="1"/>
  <c r="B64" i="1"/>
  <c r="K63" i="1"/>
  <c r="N63" i="1" s="1"/>
  <c r="B63" i="1"/>
  <c r="K62" i="1"/>
  <c r="N62" i="1" s="1"/>
  <c r="B62" i="1"/>
  <c r="K61" i="1"/>
  <c r="N61" i="1" s="1"/>
  <c r="B61" i="1"/>
  <c r="N60" i="1"/>
  <c r="K60" i="1"/>
  <c r="B60" i="1"/>
  <c r="K59" i="1"/>
  <c r="N59" i="1" s="1"/>
  <c r="B59" i="1"/>
  <c r="K58" i="1"/>
  <c r="N58" i="1" s="1"/>
  <c r="B58" i="1"/>
  <c r="K57" i="1"/>
  <c r="N57" i="1" s="1"/>
  <c r="B57" i="1"/>
  <c r="N56" i="1"/>
  <c r="K56" i="1"/>
  <c r="B56" i="1"/>
  <c r="K55" i="1"/>
  <c r="N55" i="1" s="1"/>
  <c r="B55" i="1"/>
  <c r="K54" i="1"/>
  <c r="N54" i="1" s="1"/>
  <c r="B54" i="1"/>
  <c r="K53" i="1"/>
  <c r="N53" i="1" s="1"/>
  <c r="B53" i="1"/>
  <c r="N52" i="1"/>
  <c r="K52" i="1"/>
  <c r="B52" i="1"/>
  <c r="K51" i="1"/>
  <c r="N51" i="1" s="1"/>
  <c r="B51" i="1"/>
  <c r="K50" i="1"/>
  <c r="N50" i="1" s="1"/>
  <c r="B50" i="1"/>
  <c r="K49" i="1"/>
  <c r="N49" i="1" s="1"/>
  <c r="B49" i="1"/>
  <c r="N48" i="1"/>
  <c r="K48" i="1"/>
  <c r="B48" i="1"/>
  <c r="K47" i="1"/>
  <c r="N47" i="1" s="1"/>
  <c r="B47" i="1"/>
  <c r="K46" i="1"/>
  <c r="N46" i="1" s="1"/>
  <c r="B46" i="1"/>
  <c r="K45" i="1"/>
  <c r="N45" i="1" s="1"/>
  <c r="B45" i="1"/>
  <c r="N44" i="1"/>
  <c r="K44" i="1"/>
  <c r="B44" i="1"/>
  <c r="K43" i="1"/>
  <c r="N43" i="1" s="1"/>
  <c r="B43" i="1"/>
  <c r="K42" i="1"/>
  <c r="N42" i="1" s="1"/>
  <c r="B42" i="1"/>
  <c r="K41" i="1"/>
  <c r="N41" i="1" s="1"/>
  <c r="B41" i="1"/>
  <c r="N40" i="1"/>
  <c r="K40" i="1"/>
  <c r="B40" i="1"/>
  <c r="K39" i="1"/>
  <c r="N39" i="1" s="1"/>
  <c r="B39" i="1"/>
  <c r="K38" i="1"/>
  <c r="N38" i="1" s="1"/>
  <c r="B38" i="1"/>
  <c r="K37" i="1"/>
  <c r="N37" i="1" s="1"/>
  <c r="B37" i="1"/>
  <c r="N36" i="1"/>
  <c r="K36" i="1"/>
  <c r="B36" i="1"/>
  <c r="K35" i="1"/>
  <c r="N35" i="1" s="1"/>
  <c r="B35" i="1"/>
  <c r="K34" i="1"/>
  <c r="N34" i="1" s="1"/>
  <c r="B34" i="1"/>
  <c r="K33" i="1"/>
  <c r="N33" i="1" s="1"/>
  <c r="B33" i="1"/>
  <c r="N32" i="1"/>
  <c r="K32" i="1"/>
  <c r="B32" i="1"/>
  <c r="K31" i="1"/>
  <c r="N31" i="1" s="1"/>
  <c r="B31" i="1"/>
  <c r="K30" i="1"/>
  <c r="N30" i="1" s="1"/>
  <c r="B30" i="1"/>
  <c r="K29" i="1"/>
  <c r="N29" i="1" s="1"/>
  <c r="B29" i="1"/>
  <c r="N28" i="1"/>
  <c r="K28" i="1"/>
  <c r="B28" i="1"/>
  <c r="K27" i="1"/>
  <c r="N27" i="1" s="1"/>
  <c r="B27" i="1"/>
  <c r="K26" i="1"/>
  <c r="N26" i="1" s="1"/>
  <c r="B26" i="1"/>
  <c r="K25" i="1"/>
  <c r="N25" i="1" s="1"/>
  <c r="B25" i="1"/>
  <c r="N24" i="1"/>
  <c r="K24" i="1"/>
  <c r="B24" i="1"/>
  <c r="K23" i="1"/>
  <c r="N23" i="1" s="1"/>
  <c r="B23" i="1"/>
  <c r="K22" i="1"/>
  <c r="N22" i="1" s="1"/>
  <c r="B22" i="1"/>
  <c r="K21" i="1"/>
  <c r="N21" i="1" s="1"/>
  <c r="B21" i="1"/>
  <c r="N20" i="1"/>
  <c r="K20" i="1"/>
  <c r="B20" i="1"/>
  <c r="K19" i="1"/>
  <c r="N19" i="1" s="1"/>
  <c r="B19" i="1"/>
  <c r="K18" i="1"/>
  <c r="N18" i="1" s="1"/>
  <c r="B18" i="1"/>
  <c r="K17" i="1"/>
  <c r="N17" i="1" s="1"/>
  <c r="B17" i="1"/>
  <c r="N16" i="1"/>
  <c r="K16" i="1"/>
  <c r="B16" i="1"/>
  <c r="K15" i="1"/>
  <c r="N15" i="1" s="1"/>
  <c r="B15" i="1"/>
  <c r="K14" i="1"/>
  <c r="N14" i="1" s="1"/>
  <c r="B14" i="1"/>
  <c r="K13" i="1"/>
  <c r="N13" i="1" s="1"/>
  <c r="B13" i="1"/>
  <c r="N12" i="1"/>
  <c r="K12" i="1"/>
  <c r="B12" i="1"/>
  <c r="K11" i="1"/>
  <c r="N11" i="1" s="1"/>
  <c r="B11" i="1"/>
  <c r="K10" i="1"/>
  <c r="N10" i="1" s="1"/>
  <c r="B10" i="1"/>
  <c r="K9" i="1"/>
  <c r="N9" i="1" s="1"/>
  <c r="B9" i="1"/>
  <c r="N8" i="1"/>
  <c r="K8" i="1"/>
  <c r="B8" i="1"/>
  <c r="K7" i="1"/>
  <c r="N7" i="1" s="1"/>
  <c r="B7" i="1"/>
  <c r="K6" i="1"/>
  <c r="N6" i="1" s="1"/>
  <c r="B6" i="1"/>
  <c r="K5" i="1"/>
  <c r="N5" i="1" s="1"/>
  <c r="B5" i="1"/>
  <c r="N4" i="1"/>
  <c r="K4" i="1"/>
  <c r="B4" i="1"/>
  <c r="K3" i="1"/>
  <c r="N3" i="1" s="1"/>
  <c r="B3" i="1"/>
  <c r="N167" i="1" l="1"/>
  <c r="N168" i="1" s="1"/>
</calcChain>
</file>

<file path=xl/sharedStrings.xml><?xml version="1.0" encoding="utf-8"?>
<sst xmlns="http://schemas.openxmlformats.org/spreadsheetml/2006/main" count="1333" uniqueCount="715">
  <si>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</si>
  <si>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</si>
  <si>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</si>
  <si>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</si>
  <si>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</si>
  <si>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</si>
  <si>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</si>
  <si>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Value</t>
  </si>
  <si>
    <t>Quantity</t>
  </si>
  <si>
    <t>Quantity (3 Boards)</t>
  </si>
  <si>
    <t>Links</t>
  </si>
  <si>
    <t>Unit Cost (3 Boards)</t>
  </si>
  <si>
    <t>Total Cost (3 Boards)</t>
  </si>
  <si>
    <t>Remarks</t>
  </si>
  <si>
    <t>Capacitor</t>
  </si>
  <si>
    <t>C1, C3, C4, C6, C7, C8, C9, C11, C12, C13, C14, C15, C16, C17, C18, C21, C22, C23, C27, C30, C34, C55, C65, C66, C67, C70, C71, C72, C75, C76, C78, C81, C84, C85, C88, C89, C91, C92, C93, C94, C95, C96, C97, C98, C100, C101, C103, C104, C106, C107, C109, C110, C111, C113, C114, C115, C118, C119, C120, C122, C126, C129, C131, C134, C135, C136, C137, C141, C143, C147, C148, C149, C152, C153, C154, C155, C158, C167, C168, C169, C180, C181, C182, C183, C184, C185, C186, C187, C188, C189, C190, C191, C192, C193, C194, C199, C204</t>
  </si>
  <si>
    <t>CAP CER 0.1UF 16V X5R 0402</t>
  </si>
  <si>
    <t>Cap-0402</t>
  </si>
  <si>
    <t>CC0402KRX5R7BB104</t>
  </si>
  <si>
    <t>Yageo</t>
  </si>
  <si>
    <t>100nF</t>
  </si>
  <si>
    <t>Digikey</t>
  </si>
  <si>
    <t>C2, C165</t>
  </si>
  <si>
    <t>CAP CER 100PF 50V C0G/NPO 0402</t>
  </si>
  <si>
    <t>CC0402JRNPO9BN101</t>
  </si>
  <si>
    <t>100pF</t>
  </si>
  <si>
    <t>C5, C10, C24, C31, C125, C142, C203</t>
  </si>
  <si>
    <t>CAP CER 1000PF 2KV X7R 1206</t>
  </si>
  <si>
    <t>Cap-1206</t>
  </si>
  <si>
    <t>CC1206KKX7RDBB102</t>
  </si>
  <si>
    <t>1nF</t>
  </si>
  <si>
    <t>C19, C25, C28, C32</t>
  </si>
  <si>
    <t>CAP CER 1UF 16V X5R 0402</t>
  </si>
  <si>
    <t>CC0402KRX5R7BB105</t>
  </si>
  <si>
    <t>1uF</t>
  </si>
  <si>
    <t>C20, C26, C29, C33</t>
  </si>
  <si>
    <t>CAP CER 10UF 16V X5R 0603</t>
  </si>
  <si>
    <t>Cap-0603</t>
  </si>
  <si>
    <t>CC0603KRX5R7BB106</t>
  </si>
  <si>
    <t>10uF</t>
  </si>
  <si>
    <t>C35, C36, C38</t>
  </si>
  <si>
    <t>CAP CER 4.7UF 50V X5R 0805</t>
  </si>
  <si>
    <t>Cap-0805</t>
  </si>
  <si>
    <t>GRM21BR61H475KE51L</t>
  </si>
  <si>
    <t>Murata</t>
  </si>
  <si>
    <t>4.7uf</t>
  </si>
  <si>
    <t>C37, C68, C80, C166</t>
  </si>
  <si>
    <t>CAP CER 1UF 25V X5R 0402</t>
  </si>
  <si>
    <t>CC0402KRX5R8BB105</t>
  </si>
  <si>
    <t>C39, C40, C42, C43, C46, C50, C52, C53, C57, C124, C130, C177, C179</t>
  </si>
  <si>
    <t>CAP CER 0.1UF 50V X7R 0402</t>
  </si>
  <si>
    <t>cap-0402</t>
  </si>
  <si>
    <t>C1005X7R1H104KT000F</t>
  </si>
  <si>
    <t>TDK</t>
  </si>
  <si>
    <t>C41, C51, C176, C178</t>
  </si>
  <si>
    <t>CAP CER 10UF 50V X5R 0805</t>
  </si>
  <si>
    <t>GRM21BR61H106ME43L</t>
  </si>
  <si>
    <t>C44, C45, C54, C56</t>
  </si>
  <si>
    <t>CAP CER 47UF 25V X5R 1206</t>
  </si>
  <si>
    <t>GRM31CR61E476ME44L</t>
  </si>
  <si>
    <t>47uF</t>
  </si>
  <si>
    <t>C47, C59</t>
  </si>
  <si>
    <t>CAP CER 2.2UF 25V X5R 0402</t>
  </si>
  <si>
    <t>GRM155R61E225KE11D</t>
  </si>
  <si>
    <t>2.2uf</t>
  </si>
  <si>
    <t>C48, C60</t>
  </si>
  <si>
    <t>CAP CER 1000PF 25V X7R 0402</t>
  </si>
  <si>
    <t>CC0402KRX7R8BB102</t>
  </si>
  <si>
    <t>1000pF</t>
  </si>
  <si>
    <t>C49, C61</t>
  </si>
  <si>
    <t>CAP CER 3.9PF 50V C0G/NPO 0402</t>
  </si>
  <si>
    <t>CC0402BRNPO9BN3R9</t>
  </si>
  <si>
    <t>3.9pF</t>
  </si>
  <si>
    <t>C58, C77</t>
  </si>
  <si>
    <t>CAP CER 10PF 50V C0G/NP0 0402</t>
  </si>
  <si>
    <t>GRM1555C1H100JA01D</t>
  </si>
  <si>
    <t>10pF</t>
  </si>
  <si>
    <t>C62</t>
  </si>
  <si>
    <t>CAP TANT 470UF 10% 10V 2917</t>
  </si>
  <si>
    <t>Case-E</t>
  </si>
  <si>
    <t>TAJE477K010RNJ</t>
  </si>
  <si>
    <t>Kyocera AVX</t>
  </si>
  <si>
    <t>470uF</t>
  </si>
  <si>
    <t>C63</t>
  </si>
  <si>
    <t>CAP CER 0.1UF 50V X5R 0603</t>
  </si>
  <si>
    <t>CC0603KRX5R9BB104</t>
  </si>
  <si>
    <t>C64</t>
  </si>
  <si>
    <t>CAP CER 33PF 25V C0G/NP0 0402</t>
  </si>
  <si>
    <t>GRM1555C1E330JA01D</t>
  </si>
  <si>
    <t>33pF</t>
  </si>
  <si>
    <t>C69, C174</t>
  </si>
  <si>
    <t>CAP TANT 100UF 20% 10V 1411</t>
  </si>
  <si>
    <t>Case-B</t>
  </si>
  <si>
    <t>TAJB107M010RNJ</t>
  </si>
  <si>
    <t>100uF</t>
  </si>
  <si>
    <t>C73, C74</t>
  </si>
  <si>
    <t>CAP CER 0.22UF 25V X5R 0402</t>
  </si>
  <si>
    <t>CC0402KRX5R8BB224</t>
  </si>
  <si>
    <t>220nF</t>
  </si>
  <si>
    <t>C79</t>
  </si>
  <si>
    <t>CAP CER 10UF 10V X5R 0402</t>
  </si>
  <si>
    <t>CC0402MRX5R6BB106</t>
  </si>
  <si>
    <t>C82, C83</t>
  </si>
  <si>
    <t>CAP CER 9PF 50V C0G/NPO 0402</t>
  </si>
  <si>
    <t>CQ0402CRNPO9BN9R0</t>
  </si>
  <si>
    <t>9pF</t>
  </si>
  <si>
    <t>C86, C87, C90, C99, C102, C105, C108, C112, C156, C157</t>
  </si>
  <si>
    <t>CAP CER 10UF 25V X5R 0603</t>
  </si>
  <si>
    <t>C1608X5R1E106M080AC</t>
  </si>
  <si>
    <t>C116</t>
  </si>
  <si>
    <t>100uF 50V ±20% SMD,D6.3xL7.7mm Aluminum Electrolytic Capacitors - SMD ROHS</t>
  </si>
  <si>
    <t>Custom</t>
  </si>
  <si>
    <t>RVT1H101M0607</t>
  </si>
  <si>
    <t>ROQANG</t>
  </si>
  <si>
    <t>LCSC</t>
  </si>
  <si>
    <t>C117, C121, C123, C132, C140, C146, C150</t>
  </si>
  <si>
    <t>CAP CER 4.7UF 10V X5R 0402</t>
  </si>
  <si>
    <t>CC0402KRX5R6BB475</t>
  </si>
  <si>
    <t>4.7uF</t>
  </si>
  <si>
    <t>C127, C128, C138, C139</t>
  </si>
  <si>
    <t>CAP CER 12PF 50V C0G/NP0 0402</t>
  </si>
  <si>
    <t>GJM1555C1H120GB01D</t>
  </si>
  <si>
    <t>12pF</t>
  </si>
  <si>
    <t>C159, C160, C161, C162, C163, C164, C198</t>
  </si>
  <si>
    <t>C170, C171</t>
  </si>
  <si>
    <t>CAP CER 27PF 25V C0G/NP0 0402</t>
  </si>
  <si>
    <t>0402N270J250CT</t>
  </si>
  <si>
    <t>Walsin Technologies</t>
  </si>
  <si>
    <t>27pF</t>
  </si>
  <si>
    <t>C172, C173</t>
  </si>
  <si>
    <t>CAP CER 0.015UF 50V X7R 0402</t>
  </si>
  <si>
    <t>CC0402KRX7R9BB153</t>
  </si>
  <si>
    <t>15nF</t>
  </si>
  <si>
    <t>C175</t>
  </si>
  <si>
    <t>CAP CER 0.1UF 100V X7R 0603</t>
  </si>
  <si>
    <t>CC0603KRX7R0BB104</t>
  </si>
  <si>
    <t>0.1uF</t>
  </si>
  <si>
    <t>C195, C196</t>
  </si>
  <si>
    <t>CAP CER 1000PF 25V C0G/NPO 0603</t>
  </si>
  <si>
    <t>CAP-0603</t>
  </si>
  <si>
    <t>CC0603JRNPO8BN102</t>
  </si>
  <si>
    <t>C197</t>
  </si>
  <si>
    <t>CAP CER 1UF 25V X5R 0603</t>
  </si>
  <si>
    <t>CC0603KRX5R8BB105</t>
  </si>
  <si>
    <t>Diode</t>
  </si>
  <si>
    <t>D1, D2, D3, D4, D7, D8, D9, D10, D11, D12, D13, D14, D22, D23, D24, D25, D48, D49, D50, D51, D53, D54, D55, D56, D57, D61, D64, D65, D66, D68</t>
  </si>
  <si>
    <t>DFN1006-2(0402) ESD Protection Devices ROHS</t>
  </si>
  <si>
    <t>DFN1006-2L (Bi-Directional)</t>
  </si>
  <si>
    <t>ESD5451N</t>
  </si>
  <si>
    <t>TECH PUBLIC</t>
  </si>
  <si>
    <t>-</t>
  </si>
  <si>
    <t>D5, D6</t>
  </si>
  <si>
    <t>DFN2510-10L ESD Protection Devices ROHS</t>
  </si>
  <si>
    <t>DFN2510-10L_</t>
  </si>
  <si>
    <t>ESD5344D-10/TR</t>
  </si>
  <si>
    <t>WILLSEMI</t>
  </si>
  <si>
    <t>D15</t>
  </si>
  <si>
    <t>TVS DIODE 33VWM 53.3VC SMB</t>
  </si>
  <si>
    <t>SMB Bi Directional</t>
  </si>
  <si>
    <t>SMBJ33CA-13-F</t>
  </si>
  <si>
    <t>Diodes</t>
  </si>
  <si>
    <t>D16, D58, D59, D60, D62, D63</t>
  </si>
  <si>
    <t>DIODE ZENER ARRAY 3.3V SOT363</t>
  </si>
  <si>
    <t>SOT-363</t>
  </si>
  <si>
    <t>BZX84C3V3TS-7-F</t>
  </si>
  <si>
    <t>Diodes Incorporated</t>
  </si>
  <si>
    <t>D17</t>
  </si>
  <si>
    <t>DIODE ZENER 5.1V 500MW SOD123</t>
  </si>
  <si>
    <t>SOD-123</t>
  </si>
  <si>
    <t>MMSZ5231BT1G</t>
  </si>
  <si>
    <t>ON Semiconductor</t>
  </si>
  <si>
    <t>D18, D26, D27, D28, D29, D30, D31, D32, D33, D34, D35, D36, D37, D38, D39, D40, D41, D42, D43, D44, D45</t>
  </si>
  <si>
    <t>DFN1006-2 ESD Protection Devices ROHS</t>
  </si>
  <si>
    <t>DFN1006-2L_</t>
  </si>
  <si>
    <t>ESD9X5VU</t>
  </si>
  <si>
    <t>D19</t>
  </si>
  <si>
    <t>16A 20V 7V 5V@Max Unidirectional SOT-23 TVS ROHS</t>
  </si>
  <si>
    <t>Sot-23</t>
  </si>
  <si>
    <t>ESD5302F-3/TR</t>
  </si>
  <si>
    <t>D20, D21</t>
  </si>
  <si>
    <t>35A@8/20us 15V 4.5V@Max DFN1006-2L Electrostatic and Surge Protection (TVS/ESD) ROHS</t>
  </si>
  <si>
    <t>ESD5651N-2/TR</t>
  </si>
  <si>
    <t>WILLSEMI(Will Semicon)</t>
  </si>
  <si>
    <t>(TVS/ESD)</t>
  </si>
  <si>
    <t>D46, D47</t>
  </si>
  <si>
    <t>TVS DIODE 5.5VWM SOT23</t>
  </si>
  <si>
    <t>SOT-23</t>
  </si>
  <si>
    <t>DRTR5V0U1SO-7</t>
  </si>
  <si>
    <t>Fuse</t>
  </si>
  <si>
    <t>F1</t>
  </si>
  <si>
    <t>FUSE BRD MNT 5A 32VAC 75VDC 1206</t>
  </si>
  <si>
    <t>Fuse 1206 (3216 Metric)</t>
  </si>
  <si>
    <t>0458005.DR</t>
  </si>
  <si>
    <t>Littelfuse</t>
  </si>
  <si>
    <t>F2</t>
  </si>
  <si>
    <t>6V 500mA 40A 1A 0603 Resettable Fuses ROHS</t>
  </si>
  <si>
    <t>Fuse-0603</t>
  </si>
  <si>
    <t>SMD0603-050</t>
  </si>
  <si>
    <t>TECHFUSE</t>
  </si>
  <si>
    <t>Ferrite Bead</t>
  </si>
  <si>
    <t>FB1</t>
  </si>
  <si>
    <t>FERRITE BEAD 30 OHM 0805 1LN</t>
  </si>
  <si>
    <t>Ind-0805</t>
  </si>
  <si>
    <t>BLM21PG300SN1D</t>
  </si>
  <si>
    <t>FB2</t>
  </si>
  <si>
    <t>0603 180Ω ±25% DCR=0.09Ω 1.5A</t>
  </si>
  <si>
    <t>IND-0603 (1608 Metric)</t>
  </si>
  <si>
    <t>BLM18PG181SN1D</t>
  </si>
  <si>
    <t>FB3, FB4</t>
  </si>
  <si>
    <t>FERRITE BEAD 1K OHM 1206 1LN</t>
  </si>
  <si>
    <t>IND-1206</t>
  </si>
  <si>
    <t>BLM31KN102SN1L</t>
  </si>
  <si>
    <t>MicroSD card</t>
  </si>
  <si>
    <t>J1</t>
  </si>
  <si>
    <t>2mm Deck MicroSD card (TF card) Self bomb SMD SD Card / Memory Card Connector ROHS</t>
  </si>
  <si>
    <t>TF-01A</t>
  </si>
  <si>
    <t>Yuandi</t>
  </si>
  <si>
    <t>Card Edge Connectors</t>
  </si>
  <si>
    <t>J1 Part-</t>
  </si>
  <si>
    <t>SMD,P=0.5mm,Surface Mount，Right Angle</t>
  </si>
  <si>
    <t>AS0B826-S78B-7H</t>
  </si>
  <si>
    <t>FOXCONN</t>
  </si>
  <si>
    <t>HDMI Connector</t>
  </si>
  <si>
    <t>J2</t>
  </si>
  <si>
    <t>CONN RCPT 1.4 HDMI 19POS SMD R/A</t>
  </si>
  <si>
    <t>10029449-111RLF</t>
  </si>
  <si>
    <t>Amphenol ICC / FCI</t>
  </si>
  <si>
    <t>Wire To Board Connector</t>
  </si>
  <si>
    <t>J3</t>
  </si>
  <si>
    <t>1x3P 3P XH 1 Tin 2.5mm 3 -25℃~+85℃ Brass 3A Straight Plugin,P=2.5mm Wire To Board Connector ROHS</t>
  </si>
  <si>
    <t>XH-3A</t>
  </si>
  <si>
    <t>HCTL</t>
  </si>
  <si>
    <t>J4</t>
  </si>
  <si>
    <t>HC-XH-3A-R</t>
  </si>
  <si>
    <t>Type-A USB Connector</t>
  </si>
  <si>
    <t>J5</t>
  </si>
  <si>
    <t>USB 2.0 1.5A 2 235℃ Right-Angle 4P+4P Female -40℃~+85℃ Gold Brass Type-A Plugin USB Connectors ROHS</t>
  </si>
  <si>
    <t>U224-081N-1BR61</t>
  </si>
  <si>
    <t>XKB Connection</t>
  </si>
  <si>
    <t>Type-A Connector</t>
  </si>
  <si>
    <t>J6</t>
  </si>
  <si>
    <t>USB 3.0 2 Right-Angle 9P+9P Female Type-A Plugin USB Connectors ROHS</t>
  </si>
  <si>
    <t>UEA1112C-8HS6-4F</t>
  </si>
  <si>
    <t>DC JACK</t>
  </si>
  <si>
    <t>J7</t>
  </si>
  <si>
    <t>Shrouded DC Power Receptacle -20℃~+70℃ 2.5mm 6.5mm 10A 16V Plugin AC/DC Power Connectors ROHS</t>
  </si>
  <si>
    <t>DC-053D-25A</t>
  </si>
  <si>
    <t>Korean Hroparts Elec</t>
  </si>
  <si>
    <t>J8</t>
  </si>
  <si>
    <t>BAT WIRELESS</t>
  </si>
  <si>
    <t>SIM Card Connectors</t>
  </si>
  <si>
    <t>J10, J11</t>
  </si>
  <si>
    <t>Copper Alloy Self bomb Gold plating 1.25mm Deck -40℃~+85℃ 260℃ NanoSIM SMD SIM Card Connectors ROHS</t>
  </si>
  <si>
    <t>XKNANO-113</t>
  </si>
  <si>
    <t>XKB Connectivity</t>
  </si>
  <si>
    <t>Terminal Block</t>
  </si>
  <si>
    <t>J12, J13, J14, J15, J16</t>
  </si>
  <si>
    <t>250V 10A 3 Bend -40℃~+105℃ 1 3.5mm 1x3P Green Board Edge/Receptacle-Close Push-Pull,P=3.5mm Pluggable System Terminal Block ROHS</t>
  </si>
  <si>
    <t>DB2ERC-3.5-3P-GN</t>
  </si>
  <si>
    <t>DORABO</t>
  </si>
  <si>
    <t>Male Header</t>
  </si>
  <si>
    <t>J17</t>
  </si>
  <si>
    <t>250V 3A Brick nogging Square Pins 2.5mm 260℃@5S 6mm 20P -40℃~+105℃ 2.54mm 双排 Black 2.54mm 2x10P SMD,P=2.54mm Pin Headers ROHS</t>
  </si>
  <si>
    <t>PZ254-2-10-S</t>
  </si>
  <si>
    <t>UFL Connector</t>
  </si>
  <si>
    <t>J18</t>
  </si>
  <si>
    <t>CONN U.FL RCPT STR 50 OHM SMD</t>
  </si>
  <si>
    <t>U.FL-R-SMT-1(80)</t>
  </si>
  <si>
    <t>Hirose</t>
  </si>
  <si>
    <t>USB Connector</t>
  </si>
  <si>
    <t>J19</t>
  </si>
  <si>
    <t>CONN RCPT USB2.0 MICRO B SMD R/A</t>
  </si>
  <si>
    <t>10118192-0001LF</t>
  </si>
  <si>
    <t>Amphenol FCI</t>
  </si>
  <si>
    <t>J20</t>
  </si>
  <si>
    <t>1x4P 4P XH 1 Tin 2.5mm 4 -25℃~+85℃ Brass 3A Straight Plugin,P=2.5mm Wire To Board Connector ROHS</t>
  </si>
  <si>
    <t>XH-4A-L</t>
  </si>
  <si>
    <t>Ethernet Connector</t>
  </si>
  <si>
    <t>J21, J24</t>
  </si>
  <si>
    <t>RJ45 RJReceptacle 1 Internal oscillator included Shrouded WithLED Plugin Ethernet Connectors/Modular Connectors (RJ45 RJ11) ROHS</t>
  </si>
  <si>
    <t>HR911130C</t>
  </si>
  <si>
    <t>HANRUN</t>
  </si>
  <si>
    <t>JST Connector</t>
  </si>
  <si>
    <t>J22</t>
  </si>
  <si>
    <t>1x2P XH 1 2.54mm 2.54mm Male pin 2 -25℃~+85℃ 3A Straight Straight,P=2.5mm Wire To Board / Wire To Wire Connector ROHS</t>
  </si>
  <si>
    <t>HC-XH-2A-G</t>
  </si>
  <si>
    <t>J23</t>
  </si>
  <si>
    <t>XH-4A</t>
  </si>
  <si>
    <t>Audio Connector</t>
  </si>
  <si>
    <t>J25</t>
  </si>
  <si>
    <t>3.5mm headphone jack 1A SMD Audio Connectors ROHS</t>
  </si>
  <si>
    <t>PJ-332D-6A</t>
  </si>
  <si>
    <t>FFC / FPC Connector</t>
  </si>
  <si>
    <t>J26</t>
  </si>
  <si>
    <t>CONN FFC BOTTOM 30POS 0.5MM R/A</t>
  </si>
  <si>
    <t>TF31-30S-0.5SH(800)</t>
  </si>
  <si>
    <t>J27, J28</t>
  </si>
  <si>
    <t>1x2P 2P XH 1 Tin 2.5mm 2 -25℃~+85℃ Brass 3A Straight Plugin,P=2.5mm Wire To Board Connector ROHS</t>
  </si>
  <si>
    <t>XH-2A-Y</t>
  </si>
  <si>
    <t>J29</t>
  </si>
  <si>
    <t>1 Brick nogging 14P Female Type-C SMD USB Connectors ROHS</t>
  </si>
  <si>
    <t>TYPE-C-31-D-07</t>
  </si>
  <si>
    <t>Relay</t>
  </si>
  <si>
    <t>K1, K2, K3, K4, K5</t>
  </si>
  <si>
    <t>RELAY TELECOM DPDT 1A 5V</t>
  </si>
  <si>
    <t>G6K-2F-Y-TR-DC5</t>
  </si>
  <si>
    <t>Omron</t>
  </si>
  <si>
    <t>L1, L2, L3, L4</t>
  </si>
  <si>
    <t>CMC 100MA 2LN 90 OHM SMD</t>
  </si>
  <si>
    <t>Inductor</t>
  </si>
  <si>
    <t>L5</t>
  </si>
  <si>
    <t>Fixed Ind 4.720%UH 0.06 Ohm 3200M</t>
  </si>
  <si>
    <t>SWPA4030S4R7MT</t>
  </si>
  <si>
    <t>Sunlord</t>
  </si>
  <si>
    <t>4.7uH</t>
  </si>
  <si>
    <t>L6, L9</t>
  </si>
  <si>
    <t>FIXED IND 2.2UH 1.5A 160MOHM SMD</t>
  </si>
  <si>
    <t>MAKK2016T2R2M</t>
  </si>
  <si>
    <t>Taiyo Yuden</t>
  </si>
  <si>
    <t>2.2uH</t>
  </si>
  <si>
    <t>L7, L8</t>
  </si>
  <si>
    <t>1uH ±20% 23A SMD,6.6x6.4mm Power Inductors ROHS</t>
  </si>
  <si>
    <t>YSPIT0630A-1R0M</t>
  </si>
  <si>
    <t>YJYCOIN</t>
  </si>
  <si>
    <t>1uH</t>
  </si>
  <si>
    <t>LED</t>
  </si>
  <si>
    <t>LED1</t>
  </si>
  <si>
    <t>Emerald 0603 Light Emitting Diodes (LED) ROHS</t>
  </si>
  <si>
    <t>LED-0603</t>
  </si>
  <si>
    <t>NCD0603G2</t>
  </si>
  <si>
    <t>Foshan NationStar Optoelectronics</t>
  </si>
  <si>
    <t>LED2, LED6</t>
  </si>
  <si>
    <t>RED LED 0603 Light Emitting Diodes</t>
  </si>
  <si>
    <t>NCD0603R3</t>
  </si>
  <si>
    <t>LED3</t>
  </si>
  <si>
    <t>yellow 0603 Light Emitting Diodes (LED) ROHS</t>
  </si>
  <si>
    <t>NCD0603Y2</t>
  </si>
  <si>
    <t>LED4</t>
  </si>
  <si>
    <t>LED YELLOW CLEAR CHIP SMD</t>
  </si>
  <si>
    <t>LED-0402</t>
  </si>
  <si>
    <t>XZMYK68W-2</t>
  </si>
  <si>
    <t>SunLED</t>
  </si>
  <si>
    <t>LED5</t>
  </si>
  <si>
    <t>LED RED CLEAR CHIP SMD</t>
  </si>
  <si>
    <t>XZMDK68W-2</t>
  </si>
  <si>
    <t>LED7</t>
  </si>
  <si>
    <t>LED BLUE CLEAR 2SMD</t>
  </si>
  <si>
    <t>XZCBD68W-2</t>
  </si>
  <si>
    <t>RGB  LED</t>
  </si>
  <si>
    <t>LED8, LED9, LED10, LED11, LED12, LED13</t>
  </si>
  <si>
    <t>12mA RGB SMD3535 Light Emitting Diodes (LED) ROHS</t>
  </si>
  <si>
    <t>SMD3535</t>
  </si>
  <si>
    <t>WS2812B-MINI-V3/W</t>
  </si>
  <si>
    <t>Worldsemi</t>
  </si>
  <si>
    <t>Mosfet</t>
  </si>
  <si>
    <t>Q1</t>
  </si>
  <si>
    <t>Mosfet 2 N-Channel 20V 485mA 250mW Surface Mount SC-89 (SOT-563F)</t>
  </si>
  <si>
    <t>SOT-563</t>
  </si>
  <si>
    <t>SI1024X-T1-GE3</t>
  </si>
  <si>
    <t>Vishay Intertech</t>
  </si>
  <si>
    <t>Q2, Q3, Q4, Q5</t>
  </si>
  <si>
    <t>SOT-23 MOSFETs ROHS</t>
  </si>
  <si>
    <t>FDN335N</t>
  </si>
  <si>
    <t>Transistor</t>
  </si>
  <si>
    <t>Q6, Q14</t>
  </si>
  <si>
    <t>Trans Gp Bjt NPN 25V 1.5A 300MW 3-PIN SOT-23 T/r</t>
  </si>
  <si>
    <t>SS8050-G</t>
  </si>
  <si>
    <t>Comchip</t>
  </si>
  <si>
    <t>MOSFET</t>
  </si>
  <si>
    <t>Q7, Q8, Q9, Q10, Q11</t>
  </si>
  <si>
    <t>30V 100mA 200mW 8Ω@4V,10mA N Channel SOT-23 MOSFETs ROHS</t>
  </si>
  <si>
    <t>2SK3018</t>
  </si>
  <si>
    <t>KUU</t>
  </si>
  <si>
    <t>Q15</t>
  </si>
  <si>
    <t>MOSFET P-CH 30V 4.3A SOT23-3</t>
  </si>
  <si>
    <t>AOSS21311C</t>
  </si>
  <si>
    <t>Alpha &amp; Omega Semiconductor</t>
  </si>
  <si>
    <t>Q16</t>
  </si>
  <si>
    <t>TRANS NPN 40V 0.2A SOT523</t>
  </si>
  <si>
    <t>SOT-523</t>
  </si>
  <si>
    <t>MMBT3904T-7-F</t>
  </si>
  <si>
    <t>Diodes Zetex</t>
  </si>
  <si>
    <t>Q17</t>
  </si>
  <si>
    <t>40V 100mW 100@10mA,1V 200mA 300MHz 300mV@50mA,5mA NPN -55℃~+150℃@(Tj) SOT-723 Bipolar Transistors - BJT ROHS</t>
  </si>
  <si>
    <t>SOT-723</t>
  </si>
  <si>
    <t>MMBT3904M</t>
  </si>
  <si>
    <t>Resistor</t>
  </si>
  <si>
    <t>R1, R2, R4, R5, R25, R26, R30, R33, R37, R46, R50, R72, R75, R76, R77, R78, R79, R82, R83, R92, R108, R111, R112, R130, R152, R194, R199, R203, R208, R209, R225, R228, R229, R230, R234, R252, R253, R254, R258, R266</t>
  </si>
  <si>
    <t>RES 10K OHM 1% 1/16W 0402</t>
  </si>
  <si>
    <t>Res-0402</t>
  </si>
  <si>
    <t>RC0402FR-0710KL</t>
  </si>
  <si>
    <t>10K</t>
  </si>
  <si>
    <t>R3, R57, R63, R64, R69, R193</t>
  </si>
  <si>
    <t>RES 100K OHM 1% 1/16W 0402</t>
  </si>
  <si>
    <t>RC0402FR-07100KL</t>
  </si>
  <si>
    <t>100K</t>
  </si>
  <si>
    <t>R6, R7, R34, R41, R47, R115, R264</t>
  </si>
  <si>
    <t>RES SMD 1M OHM 5% 1/16W 0402</t>
  </si>
  <si>
    <t>AF0402JR-071ML</t>
  </si>
  <si>
    <t>1M</t>
  </si>
  <si>
    <t>R8, R9, R11, R17, R97, R98, R99, R100, R101, R132, R133, R134, R135, R136, R137, R138, R139, R156, R160, R161, R163, R164, R165, R166, R167, R168, R169, R170, R171, R172, R210, R211, R212, R213, R214, R215, R216, R217, R218, R219, R220, R221, R238, R248, R249, R250, R251, R259, R260</t>
  </si>
  <si>
    <t>RES 4.7K OHM 1% 1/16W 0402</t>
  </si>
  <si>
    <t>RC0402FR-074K7L</t>
  </si>
  <si>
    <t>4.7K</t>
  </si>
  <si>
    <t>R10, R73, R74, R80, R81, R237, R265</t>
  </si>
  <si>
    <t>RES 1K OHM 1% 1/16W 0402</t>
  </si>
  <si>
    <t>RC0402FR-071KL</t>
  </si>
  <si>
    <t>1K</t>
  </si>
  <si>
    <t>R12, R13</t>
  </si>
  <si>
    <t>RES 100 OHM 1% 1/16W 0402</t>
  </si>
  <si>
    <t>RC0402FR-07100RL</t>
  </si>
  <si>
    <t>DNP</t>
  </si>
  <si>
    <t>Do not place</t>
  </si>
  <si>
    <t>R14, R93</t>
  </si>
  <si>
    <t>RES SMD 10K Ohm 1% 1/10W 0603</t>
  </si>
  <si>
    <t>Res-0603</t>
  </si>
  <si>
    <t>RC0603FR-0710KL</t>
  </si>
  <si>
    <t>R15, R16, R19, R20, R21, R22, R119, R120, R121, R122, R123, R124, R144, R145, R146, R147, R148, R149, R239, R240, R241, R242, R243, R244, R245, R246</t>
  </si>
  <si>
    <t>RES 22 OHM 1% 1/16W 0402</t>
  </si>
  <si>
    <t>RC0402FR-0722RL</t>
  </si>
  <si>
    <t>22R</t>
  </si>
  <si>
    <t>R18</t>
  </si>
  <si>
    <t>RES SMD 120 OHM 0.1% 1/10W 0603</t>
  </si>
  <si>
    <t>RT0603BRB07120RL</t>
  </si>
  <si>
    <t>120R</t>
  </si>
  <si>
    <t>R23, R24, R28, R29, R52, R53, R54, R60, R65, R68, R84, R85, R86, R87, R88, R89, R90, R116, R129, R142, R173, R174, R177, R178, R191, R247, R255</t>
  </si>
  <si>
    <t>RES 0 OHM JUMPER 1/16W 0402</t>
  </si>
  <si>
    <t>RC0402FR-070RL</t>
  </si>
  <si>
    <t>0R</t>
  </si>
  <si>
    <t>Resistor Array</t>
  </si>
  <si>
    <t>R27, R222, R223, R224</t>
  </si>
  <si>
    <t>RES ARRAY 4 RES 10K OHM 1206</t>
  </si>
  <si>
    <t>YC164-FR-0710KL</t>
  </si>
  <si>
    <t>R31, R36, R45, R49</t>
  </si>
  <si>
    <t>RES 6.8K OHM 1% 1/16W 0402</t>
  </si>
  <si>
    <t>RC0402FR-076K8L</t>
  </si>
  <si>
    <t>6.8K</t>
  </si>
  <si>
    <t>R32, R40, R42, R44</t>
  </si>
  <si>
    <t>RES SMD 510 OHM 1% 1/16W 0402</t>
  </si>
  <si>
    <t>RT0402FRE07510RL</t>
  </si>
  <si>
    <t>510R</t>
  </si>
  <si>
    <t>R35</t>
  </si>
  <si>
    <t>RES 22.1K OHM 1% 1/10W 0603</t>
  </si>
  <si>
    <t>RC0603FR-0722K1L</t>
  </si>
  <si>
    <t>22.1K</t>
  </si>
  <si>
    <t>R38, R39, R104, R105, R197</t>
  </si>
  <si>
    <t>RES 5.1K OHM 1% 1/16W 0402</t>
  </si>
  <si>
    <t>RC0402FR-075K1L</t>
  </si>
  <si>
    <t>5.1K</t>
  </si>
  <si>
    <t>R43</t>
  </si>
  <si>
    <t>RES 47.5K OHM 1% 1/10W 0603</t>
  </si>
  <si>
    <t>RC0603FR-0747K5L</t>
  </si>
  <si>
    <t>47.5K</t>
  </si>
  <si>
    <t>R51</t>
  </si>
  <si>
    <t>RES 2.7K OHM 1% 1/10W 0603</t>
  </si>
  <si>
    <t>RC0603FR-072K7L</t>
  </si>
  <si>
    <t>2.7K</t>
  </si>
  <si>
    <t>R55</t>
  </si>
  <si>
    <t>RES  SMD 330R 100 mW 0603</t>
  </si>
  <si>
    <t>RC0603JR-07330RL</t>
  </si>
  <si>
    <t>330R</t>
  </si>
  <si>
    <t>R56</t>
  </si>
  <si>
    <t>RES 12K OHM 1% 1/16W 0402</t>
  </si>
  <si>
    <t>RC0402FR-0712KL</t>
  </si>
  <si>
    <t>12K</t>
  </si>
  <si>
    <t>R59, R67</t>
  </si>
  <si>
    <t>RES 39K OHM 1% 1/16W 0402</t>
  </si>
  <si>
    <t>RC0402FR-0739KL</t>
  </si>
  <si>
    <t>39K</t>
  </si>
  <si>
    <t>R61, R205</t>
  </si>
  <si>
    <t>R62, R233</t>
  </si>
  <si>
    <t>RES SMD 1K OHM 1% 1/10W 0603</t>
  </si>
  <si>
    <t>CRCW06031K00FKEA</t>
  </si>
  <si>
    <t>Vishay Dale</t>
  </si>
  <si>
    <t>R70, R71</t>
  </si>
  <si>
    <t>RES 180 OHM 1% 1/10W 0603</t>
  </si>
  <si>
    <t>RC0603FR-07180RL</t>
  </si>
  <si>
    <t>180R</t>
  </si>
  <si>
    <t>R94, R95, R157, R162</t>
  </si>
  <si>
    <t>RES 0 OHM JUMPER 1/10W 0603</t>
  </si>
  <si>
    <t>RC0603JR-070RL</t>
  </si>
  <si>
    <t>R96, R153</t>
  </si>
  <si>
    <t>RES SMD 1.8K OHM 1% 1/5W 0402</t>
  </si>
  <si>
    <t>RCS04021K80FKED</t>
  </si>
  <si>
    <t>1.8K</t>
  </si>
  <si>
    <t>R102, R103, R117, R118, R189, R190, R206, R207</t>
  </si>
  <si>
    <t>RES SMD 2.2K OHM 1% 1/16W 0402</t>
  </si>
  <si>
    <t>RC0402FR-072K2L</t>
  </si>
  <si>
    <t>2.2K</t>
  </si>
  <si>
    <t>R106, R107, R127, R150, R188, R195, R227, R232</t>
  </si>
  <si>
    <t>100R</t>
  </si>
  <si>
    <t>R109, R113</t>
  </si>
  <si>
    <t>RES 15K OHM 1% 1/16W 0402</t>
  </si>
  <si>
    <t>RC0402FR-0715KL</t>
  </si>
  <si>
    <t>15K</t>
  </si>
  <si>
    <t>R110, R114</t>
  </si>
  <si>
    <t>RES 20K OHM 1% 1/16W 0402</t>
  </si>
  <si>
    <t>RC0402FR-0720KL</t>
  </si>
  <si>
    <t>20K</t>
  </si>
  <si>
    <t>Resistors</t>
  </si>
  <si>
    <t>R128, R151</t>
  </si>
  <si>
    <t>RES 120 OHM 1% 1/16W 0402</t>
  </si>
  <si>
    <t>RC0402FR-07120RL</t>
  </si>
  <si>
    <t>R131, R141</t>
  </si>
  <si>
    <t>RES 2.49K OHM 1% 1/16W 0402</t>
  </si>
  <si>
    <t>RC0402FR-072K49L</t>
  </si>
  <si>
    <t>2.49K</t>
  </si>
  <si>
    <t>R175, R231</t>
  </si>
  <si>
    <t>R196</t>
  </si>
  <si>
    <t>RES 3K OHM 1% 1/16W 0402</t>
  </si>
  <si>
    <t>RC0402FR-073KL</t>
  </si>
  <si>
    <t>3K</t>
  </si>
  <si>
    <t>R201, R202</t>
  </si>
  <si>
    <t>RES 470 OHM 1% 1/10W 0603</t>
  </si>
  <si>
    <t>RC0603FR-07470RL</t>
  </si>
  <si>
    <t>470R</t>
  </si>
  <si>
    <t>R204</t>
  </si>
  <si>
    <t>RES 47K OHM 1% 1/16W 0402</t>
  </si>
  <si>
    <t>RC0402FR-0747KL</t>
  </si>
  <si>
    <t>47K</t>
  </si>
  <si>
    <t>R226</t>
  </si>
  <si>
    <t>RES 1.5K OHM 1% 1/16W 0402</t>
  </si>
  <si>
    <t>RC0402FR-071K5L</t>
  </si>
  <si>
    <t>1.5K</t>
  </si>
  <si>
    <t>R235</t>
  </si>
  <si>
    <t>RES 51K OHM 1% 1/16W 0402</t>
  </si>
  <si>
    <t>RC0402FR-0751KL</t>
  </si>
  <si>
    <t>51K</t>
  </si>
  <si>
    <t>R236</t>
  </si>
  <si>
    <t>RES 499 OHM 1% 1/16W 0402</t>
  </si>
  <si>
    <t>RC0402FR-07499RL</t>
  </si>
  <si>
    <t>499R</t>
  </si>
  <si>
    <t>R256, R257</t>
  </si>
  <si>
    <t>RES SMD 22.1KOHM 0.1% 1/16W 0402</t>
  </si>
  <si>
    <t>RT0402BRD0722K1L</t>
  </si>
  <si>
    <t>R263</t>
  </si>
  <si>
    <t>RES SMD 15K OHM 0.1% 1/16W 0402</t>
  </si>
  <si>
    <t>RT0402BRD0715KL</t>
  </si>
  <si>
    <t>RN4, RN5</t>
  </si>
  <si>
    <t>RES ARRAY 4 RES 22 OHM 1206</t>
  </si>
  <si>
    <t>0603x4</t>
  </si>
  <si>
    <t>YC164-FR-0722RL</t>
  </si>
  <si>
    <t>YAGEO</t>
  </si>
  <si>
    <t>Switch</t>
  </si>
  <si>
    <t>SW1, SW2, SW3, SW4, SW5, SW6</t>
  </si>
  <si>
    <t>3mm 2mm Round Button 50mA Top3.65mm SPST 12V SMD Tactile Switches</t>
  </si>
  <si>
    <t>TS-1185EC-C-D-B</t>
  </si>
  <si>
    <t>XKB</t>
  </si>
  <si>
    <t>IC</t>
  </si>
  <si>
    <t>U1</t>
  </si>
  <si>
    <t>transceiver 12Mbps 1/1 SOP-8 RS-485/RS-422 ICs ROHS</t>
  </si>
  <si>
    <t>SOP-8</t>
  </si>
  <si>
    <t>SIT3485ESA</t>
  </si>
  <si>
    <t>SIT</t>
  </si>
  <si>
    <t>U2</t>
  </si>
  <si>
    <t>SOIC-16</t>
  </si>
  <si>
    <t>Texas Instruments</t>
  </si>
  <si>
    <t>U3, U4</t>
  </si>
  <si>
    <t>TVS DIODE 5.5VWM 11VC U-DFN2510</t>
  </si>
  <si>
    <t>U-DFN2510-10</t>
  </si>
  <si>
    <t>DT1240-04LP-7</t>
  </si>
  <si>
    <t>U5</t>
  </si>
  <si>
    <t>IC INTERFACE SPECIALIZED 24TSSOP</t>
  </si>
  <si>
    <t>24-TSSOP</t>
  </si>
  <si>
    <t>TPD12S016PWR</t>
  </si>
  <si>
    <t>U6, U7, U8, U9</t>
  </si>
  <si>
    <t>SOT-23-5 Power Distribution Switches ROHS</t>
  </si>
  <si>
    <t>SOT-23-5</t>
  </si>
  <si>
    <t>SY6280AAC</t>
  </si>
  <si>
    <t>Silergy</t>
  </si>
  <si>
    <t>U10</t>
  </si>
  <si>
    <t>MOSFET N-CH 40V 60A PPAK SO-8</t>
  </si>
  <si>
    <t>PowerPAK-SO-8</t>
  </si>
  <si>
    <t>SQJ886EP-T1_GE3</t>
  </si>
  <si>
    <t>Vishay Siliconix</t>
  </si>
  <si>
    <t>U11</t>
  </si>
  <si>
    <t>OR Controller N+1 ORing Controller N-Channel 1:1 SOT-23-6</t>
  </si>
  <si>
    <t>SOT-23-6</t>
  </si>
  <si>
    <t>LM74700QDBVRQ1</t>
  </si>
  <si>
    <t>U12</t>
  </si>
  <si>
    <t>IC REG BUCK 3.3V 6A 17FC2QFN</t>
  </si>
  <si>
    <t>17-FC2QFN (3.5x3.75)</t>
  </si>
  <si>
    <t>MAX20006AFOB/VY+T</t>
  </si>
  <si>
    <t>Maxim</t>
  </si>
  <si>
    <t>U13</t>
  </si>
  <si>
    <t>IC REG BUCK 5V 8A 17FC2QFN</t>
  </si>
  <si>
    <t>MAX20008AFOC/VY+T</t>
  </si>
  <si>
    <t>Analog Devices</t>
  </si>
  <si>
    <t>Module</t>
  </si>
  <si>
    <t>U14</t>
  </si>
  <si>
    <t>LGA-85_19.6x19.6x1.10P RF Modules ROHS</t>
  </si>
  <si>
    <t>A7682E</t>
  </si>
  <si>
    <t>SIMCom Wireless Solutions</t>
  </si>
  <si>
    <t>U15</t>
  </si>
  <si>
    <t>IC TRNSLTR BIDIRECTIONAL US8</t>
  </si>
  <si>
    <t>TXB0102DCUT</t>
  </si>
  <si>
    <t>ESD Diode</t>
  </si>
  <si>
    <t>U16, U17</t>
  </si>
  <si>
    <t>15V 5 Unidirectional 5V SOT-363 ESD Protection Devices ROHS</t>
  </si>
  <si>
    <t>SMF05CT1G-ES</t>
  </si>
  <si>
    <t>ElecSuper</t>
  </si>
  <si>
    <t>U18</t>
  </si>
  <si>
    <t>802.11ac/a/b/g/n WiFi Combo Sip Module (WiFi 5), 1T1R</t>
  </si>
  <si>
    <t>AP6256</t>
  </si>
  <si>
    <t>SparkLan</t>
  </si>
  <si>
    <t>Temperature &amp; Humidity Sensor</t>
  </si>
  <si>
    <t>U19</t>
  </si>
  <si>
    <t>DFN-6-EP(2x2) Temperature and Humidity Sensor ROHS</t>
  </si>
  <si>
    <t>DFN-6-EP(2x2)</t>
  </si>
  <si>
    <t>GXHTC3</t>
  </si>
  <si>
    <t>GXCAS</t>
  </si>
  <si>
    <t>U20</t>
  </si>
  <si>
    <t>100uA@50V 3V@2V,300mA 1.6V@350mA 4mA@12V 100uA@50V 1.25V@350mA 500mA 25pF SOP-16_150mil Darlington Transistor Arrays ROHS</t>
  </si>
  <si>
    <t>SOP-16_150mil</t>
  </si>
  <si>
    <t>ULN2003A</t>
  </si>
  <si>
    <t>Mixic</t>
  </si>
  <si>
    <t>U21</t>
  </si>
  <si>
    <t>IC USB TO UART BRIDGE QFN24</t>
  </si>
  <si>
    <t>QFN-24</t>
  </si>
  <si>
    <t>CP2102N-A02-GQFN24R</t>
  </si>
  <si>
    <t>Silicon Labs</t>
  </si>
  <si>
    <t>U22</t>
  </si>
  <si>
    <t>IC TRANSLTR BIDIRECTIONAL 8VSSOP</t>
  </si>
  <si>
    <t>VSSOP-8(3.1x2.1)</t>
  </si>
  <si>
    <t>TXS0102DCUR</t>
  </si>
  <si>
    <t>U23, U25</t>
  </si>
  <si>
    <t>WQFN-40-EP(5x5) Ethernet ICs ROHS</t>
  </si>
  <si>
    <t>WQFN-40-EP(5x5)</t>
  </si>
  <si>
    <t>RTL8211F-CG</t>
  </si>
  <si>
    <t>Realtek Semicon</t>
  </si>
  <si>
    <t>U24</t>
  </si>
  <si>
    <t>Power Switch/Driver 1:1 P-Channel 1.7V~5.5V 130mΩ 1.2A SC-70-6</t>
  </si>
  <si>
    <t>MIC94093YC6-TR</t>
  </si>
  <si>
    <t>Microchip Tech</t>
  </si>
  <si>
    <t>U26</t>
  </si>
  <si>
    <t>IC REG LDO ADJ 3A TO263-5</t>
  </si>
  <si>
    <t>TO-263-5 (D2PAK)</t>
  </si>
  <si>
    <t>MIC29302WU-TR</t>
  </si>
  <si>
    <t>Microchip</t>
  </si>
  <si>
    <t>U27</t>
  </si>
  <si>
    <t>IC REG LINEAR 1.8V 800MA SOT223</t>
  </si>
  <si>
    <t>SOT- 223</t>
  </si>
  <si>
    <t>LM1117MPX-1.8/NOPB</t>
  </si>
  <si>
    <t>TI National Semiconductor</t>
  </si>
  <si>
    <t>U28</t>
  </si>
  <si>
    <t>IC XPNDR 400KHZ I2C SMBUS 32UQFN</t>
  </si>
  <si>
    <t>32-UQFN (5x5)</t>
  </si>
  <si>
    <t>TCA6424ARGJR</t>
  </si>
  <si>
    <t>U29</t>
  </si>
  <si>
    <t>Optoisolator Output Channel 4-SMD</t>
  </si>
  <si>
    <t>PC817X2NIPW</t>
  </si>
  <si>
    <t>Sharp</t>
  </si>
  <si>
    <t>U30</t>
  </si>
  <si>
    <t>IC BUFFER SCHMITT TRIGGER 5TSOP</t>
  </si>
  <si>
    <t>SC-74A</t>
  </si>
  <si>
    <t>74LVC1G17GV,125</t>
  </si>
  <si>
    <t>Nexperia</t>
  </si>
  <si>
    <t>U31</t>
  </si>
  <si>
    <t>SOP-8-EP Audio Power OpAmps ROHS</t>
  </si>
  <si>
    <t>8-SOIC-EP</t>
  </si>
  <si>
    <t>NS4110B</t>
  </si>
  <si>
    <t>Shenzhen Nsiway Tech</t>
  </si>
  <si>
    <t>U33</t>
  </si>
  <si>
    <t>IC USB SWITCH DPDT 10MSOP</t>
  </si>
  <si>
    <t>10-MSOP</t>
  </si>
  <si>
    <t>FSUSB42MUX</t>
  </si>
  <si>
    <t>ON Semiconductor / Fairchild</t>
  </si>
  <si>
    <t>Crystal</t>
  </si>
  <si>
    <t>X1</t>
  </si>
  <si>
    <t>37.4MHz SMD Crystal Resonator 9pF 60Ω ±10ppm -40℃~+85℃ SMD2016-4P Crystals</t>
  </si>
  <si>
    <t>Q22FA12800078</t>
  </si>
  <si>
    <t>Seiko</t>
  </si>
  <si>
    <t>37.4MHz</t>
  </si>
  <si>
    <t>X2, X3</t>
  </si>
  <si>
    <t>CRYSTAL 25.0000MHZ 12PF SMD</t>
  </si>
  <si>
    <t>Q22FA12800090</t>
  </si>
  <si>
    <t>Seiko Epson</t>
  </si>
  <si>
    <t>25MHz</t>
  </si>
  <si>
    <t>Peripheral</t>
  </si>
  <si>
    <t xml:space="preserve">SMA Antenna </t>
  </si>
  <si>
    <t>UFL Antenna</t>
  </si>
  <si>
    <t xml:space="preserve">1.5 3dBi Vertical 50W - Antennas ROHS
</t>
  </si>
  <si>
    <t>BW2.4FNX42-12B1</t>
  </si>
  <si>
    <t>Adaptor</t>
  </si>
  <si>
    <t>12V 8A</t>
  </si>
  <si>
    <t>DAMTSM</t>
  </si>
  <si>
    <t>Aliexpress</t>
  </si>
  <si>
    <t>Compute Module</t>
  </si>
  <si>
    <t>Rockchip RK3568 8G/64G</t>
  </si>
  <si>
    <t>Core-3568J</t>
  </si>
  <si>
    <t>FireFly</t>
  </si>
  <si>
    <t>Firefly</t>
  </si>
  <si>
    <t>Universal RFID reader/writer module</t>
  </si>
  <si>
    <t>TWN4 MultiTech 3 M</t>
  </si>
  <si>
    <t>ELATEC</t>
  </si>
  <si>
    <t>Epson BA-T500IIS: M-T500II Series, 24V</t>
  </si>
  <si>
    <t>BA-T500IIS</t>
  </si>
  <si>
    <t>Epson</t>
  </si>
  <si>
    <t>Honeywell 1900G-HD (High Density) 2D Barcode Scanner with USB Cable</t>
  </si>
  <si>
    <t>Xenon 1900g</t>
  </si>
  <si>
    <t>Honeywell</t>
  </si>
  <si>
    <t>AmaZon</t>
  </si>
  <si>
    <t>Total Component Price</t>
  </si>
  <si>
    <t>Single Component Price</t>
  </si>
  <si>
    <t>HJ-SMA175</t>
  </si>
  <si>
    <t>MAX3232EIDR</t>
  </si>
  <si>
    <t>SMA Connector</t>
  </si>
  <si>
    <t>1 Inner bore SMA Board Edge Bend 11mm 5.35mm Plugin RF Connectors / Coaxial Connectors ROHS</t>
  </si>
  <si>
    <t>HJ Tech</t>
  </si>
  <si>
    <t>Common Mode Choke</t>
  </si>
  <si>
    <t>IC RS232 LINE DVR/RCVR 16-SOIC</t>
  </si>
  <si>
    <t>1.8 3dBi Vertical 50W - Antennas ROHS</t>
  </si>
  <si>
    <t>BWGSMJWX105-7KJ</t>
  </si>
  <si>
    <t>R58, R66, R98</t>
  </si>
  <si>
    <t>MCZ1210CH900L2TA0G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</si>
</sst>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00"/>
    <numFmt numFmtId="165" formatCode="&quot;$&quot;#,##0.00"/>
  </numFmts>
  <fonts count="16">
    <font>
      <sz val="11"/>
      <color theme="1"/>
      <name val="Calibri"/>
      <charset val="134"/>
      <scheme val="minor"/>
    </font>
    <font>
      <strike/>
      <sz val="11"/>
      <color rgb="FFFF0000"/>
      <name val="Calibri"/>
      <family val="2"/>
      <scheme val="minor"/>
    </font>
    <font>
      <sz val="10"/>
      <color indexed="13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u/>
      <sz val="11"/>
      <color rgb="FF80008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trike/>
      <sz val="10"/>
      <color rgb="FFFF0000"/>
      <name val="Arial"/>
      <family val="2"/>
    </font>
    <font>
      <b/>
      <strike/>
      <sz val="10"/>
      <color rgb="FFFF000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strike/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3999450666829432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center"/>
    </xf>
  </cellStyleXfs>
  <cellXfs count="47">
    <xf numFmtId="0" fontId="0" fillId="0" borderId="0" xfId="0"/>
    <xf numFmtId="0" fontId="1" fillId="0" borderId="0" xfId="0" applyFont="1"/>
    <xf numFmtId="0" fontId="0" fillId="0" borderId="0" xfId="0" applyAlignmen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1" xfId="0" applyFont="1" applyFill="1" applyBorder="1"/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7" fillId="2" borderId="4" xfId="1" applyFont="1" applyFill="1" applyBorder="1" applyAlignment="1">
      <alignment horizontal="center" vertical="center" wrapText="1"/>
    </xf>
    <xf numFmtId="164" fontId="6" fillId="2" borderId="4" xfId="0" applyNumberFormat="1" applyFont="1" applyFill="1" applyBorder="1" applyAlignment="1">
      <alignment horizontal="center" vertical="center" wrapText="1"/>
    </xf>
    <xf numFmtId="0" fontId="8" fillId="2" borderId="4" xfId="1" applyFill="1" applyBorder="1" applyAlignment="1">
      <alignment horizontal="center" vertical="center" wrapText="1"/>
    </xf>
    <xf numFmtId="0" fontId="9" fillId="2" borderId="0" xfId="0" applyFont="1" applyFill="1"/>
    <xf numFmtId="0" fontId="10" fillId="3" borderId="2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2" fillId="2" borderId="0" xfId="0" applyFont="1" applyFill="1" applyAlignment="1"/>
    <xf numFmtId="0" fontId="4" fillId="3" borderId="2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 wrapText="1"/>
    </xf>
    <xf numFmtId="164" fontId="11" fillId="2" borderId="4" xfId="0" applyNumberFormat="1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8" fillId="2" borderId="4" xfId="1" applyFill="1" applyBorder="1" applyAlignment="1">
      <alignment horizontal="center" vertical="center"/>
    </xf>
    <xf numFmtId="164" fontId="6" fillId="2" borderId="4" xfId="0" applyNumberFormat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 wrapText="1"/>
    </xf>
    <xf numFmtId="164" fontId="6" fillId="2" borderId="8" xfId="0" applyNumberFormat="1" applyFont="1" applyFill="1" applyBorder="1" applyAlignment="1">
      <alignment horizontal="center" vertical="center" wrapText="1"/>
    </xf>
    <xf numFmtId="0" fontId="14" fillId="4" borderId="9" xfId="0" applyFont="1" applyFill="1" applyBorder="1" applyAlignment="1">
      <alignment vertical="center"/>
    </xf>
    <xf numFmtId="164" fontId="6" fillId="2" borderId="10" xfId="0" applyNumberFormat="1" applyFont="1" applyFill="1" applyBorder="1" applyAlignment="1">
      <alignment horizontal="center" vertical="center" wrapText="1"/>
    </xf>
    <xf numFmtId="0" fontId="15" fillId="4" borderId="11" xfId="0" applyFont="1" applyFill="1" applyBorder="1" applyAlignment="1">
      <alignment vertical="center"/>
    </xf>
    <xf numFmtId="165" fontId="6" fillId="2" borderId="12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digikey.com/en/products/detail/yageo/RC0402FR-071K5L/726519" TargetMode="External"/><Relationship Id="rId21" Type="http://schemas.openxmlformats.org/officeDocument/2006/relationships/hyperlink" Target="https://www.digikey.com/en/products/detail/yageo/CQ0402CRNPO9BN9R0/6097733" TargetMode="External"/><Relationship Id="rId42" Type="http://schemas.openxmlformats.org/officeDocument/2006/relationships/hyperlink" Target="https://www.digikey.com/en/products/detail/hirose-electric-co-ltd/TF31-30S-0-5SH-800/11204721?s=N4IgTCBcDaICoDEDMBGAtEgDAZTZgdAKzYASAFAByaYCUIAugL5A" TargetMode="External"/><Relationship Id="rId63" Type="http://schemas.openxmlformats.org/officeDocument/2006/relationships/hyperlink" Target="https://www.lcsc.com/product-detail/USB-Connectors_XKB-Connection-U224-081N-1BR61_C908455.html" TargetMode="External"/><Relationship Id="rId84" Type="http://schemas.openxmlformats.org/officeDocument/2006/relationships/hyperlink" Target="https://www.digikey.com/en/products/detail/diodes-incorporated/MMBT3904T-7-F/725021" TargetMode="External"/><Relationship Id="rId138" Type="http://schemas.openxmlformats.org/officeDocument/2006/relationships/hyperlink" Target="https://www.digikey.com/en/products/detail/silicon-labs/CP2102N-A02-GQFN24R/9863479" TargetMode="External"/><Relationship Id="rId159" Type="http://schemas.openxmlformats.org/officeDocument/2006/relationships/hyperlink" Target="https://www.lcsc.com/product-detail/Antennas_BAT-WIRELESS-BWGSMJWX105-7KJ_C497021.html" TargetMode="External"/><Relationship Id="rId107" Type="http://schemas.openxmlformats.org/officeDocument/2006/relationships/hyperlink" Target="https://www.digikey.com/en/products/detail/vishay-dale/RCS04021K80FKED/5867723" TargetMode="External"/><Relationship Id="rId11" Type="http://schemas.openxmlformats.org/officeDocument/2006/relationships/hyperlink" Target="https://www.digikey.com/en/products/detail/murata-electronics/GRM155R61E225KE11D/4905143?s=N4IgTCBcDaIOICUCyBGArGhA2FBRMYaA0riigCIgC6AvkA" TargetMode="External"/><Relationship Id="rId32" Type="http://schemas.openxmlformats.org/officeDocument/2006/relationships/hyperlink" Target="https://www.digikey.com/en/products/detail/diodes-incorporated/BZX84C3V3TS-7-F/1934541?s=N4IgTCBcDaIEIC0AaAOALAYQMwDUsBUBlAWgHZiAxEAXQF8g" TargetMode="External"/><Relationship Id="rId53" Type="http://schemas.openxmlformats.org/officeDocument/2006/relationships/hyperlink" Target="https://www.lcsc.com/product-detail/Electrostatic-and-Surge-Protection-TVS-span-style-background-color-ff0-ESD-span_TECH-PUBLIC-ESD5451N_C2936977.html" TargetMode="External"/><Relationship Id="rId74" Type="http://schemas.openxmlformats.org/officeDocument/2006/relationships/hyperlink" Target="https://www.lcsc.com/product-detail/Wire-To-Board-Connector_HCTL-XH-2A-Y_C2908595.html" TargetMode="External"/><Relationship Id="rId128" Type="http://schemas.openxmlformats.org/officeDocument/2006/relationships/hyperlink" Target="https://www.digikey.com/en/products/detail/vishay-siliconix/SQJ886EP-T1-GE3/4496425" TargetMode="External"/><Relationship Id="rId149" Type="http://schemas.openxmlformats.org/officeDocument/2006/relationships/hyperlink" Target="https://www.digikey.com/en/products/detail/epson/FA-128-37-4000MF10Y-AC5/5259653" TargetMode="External"/><Relationship Id="rId5" Type="http://schemas.openxmlformats.org/officeDocument/2006/relationships/hyperlink" Target="https://www.digikey.com/en/products/detail/yageo/CC0603KRX5R7BB106/7164370?s=N4IgTCBcDaIMJwAwDZEGYDSAlAGgViwHYAhYgRhRAF0BfIA" TargetMode="External"/><Relationship Id="rId95" Type="http://schemas.openxmlformats.org/officeDocument/2006/relationships/hyperlink" Target="https://www.digikey.com/en/products/detail/yageo/RC0402FR-076K8L/726642" TargetMode="External"/><Relationship Id="rId22" Type="http://schemas.openxmlformats.org/officeDocument/2006/relationships/hyperlink" Target="https://www.digikey.com/en/products/detail/tdk-corporation/C1608X5R1E106M080AC/3648585?s=N4IgTCBcDaIMIEYBsAGAHADQKwCUEFEEUkBZdFAQThAF0BfIA" TargetMode="External"/><Relationship Id="rId43" Type="http://schemas.openxmlformats.org/officeDocument/2006/relationships/hyperlink" Target="https://www.digikey.com/en/products/detail/omron-electronics-inc-emc-div/G6K-2F-Y-TR-DC5/369212?s=N4IgTCBcDaIOIDYDSBaMAxFBNFAVASigCIDCArCALoC%2BQA" TargetMode="External"/><Relationship Id="rId64" Type="http://schemas.openxmlformats.org/officeDocument/2006/relationships/hyperlink" Target="https://www.lcsc.com/product-detail/USB-Connectors_FOXCONN-UEA1112C-8HS6-4F_C225759.html" TargetMode="External"/><Relationship Id="rId118" Type="http://schemas.openxmlformats.org/officeDocument/2006/relationships/hyperlink" Target="https://www.digikey.com/en/products/detail/yageo/RC0402FR-0751KL/726628" TargetMode="External"/><Relationship Id="rId139" Type="http://schemas.openxmlformats.org/officeDocument/2006/relationships/hyperlink" Target="https://www.digikey.com/en/products/detail/texas-instruments/TXS0102DCUR/1629104" TargetMode="External"/><Relationship Id="rId80" Type="http://schemas.openxmlformats.org/officeDocument/2006/relationships/hyperlink" Target="https://www.lcsc.com/product-detail/RGB-LEDs-Built-in-IC_Worldsemi-WS2812B-MINI-V3-W_C527089.html" TargetMode="External"/><Relationship Id="rId85" Type="http://schemas.openxmlformats.org/officeDocument/2006/relationships/hyperlink" Target="https://www.digikey.com/en/products/detail/yageo/RC0402FR-0710KL/726523" TargetMode="External"/><Relationship Id="rId150" Type="http://schemas.openxmlformats.org/officeDocument/2006/relationships/hyperlink" Target="https://www.digikey.com/en/products/detail/epson/FA-128-25-0000MF20X-W3/5259632" TargetMode="External"/><Relationship Id="rId155" Type="http://schemas.openxmlformats.org/officeDocument/2006/relationships/hyperlink" Target="https://www.lcsc.com/product-detail/Antennas_BAT-WIRELESS-BW2-4FNX42-12B1_C496564.html" TargetMode="External"/><Relationship Id="rId12" Type="http://schemas.openxmlformats.org/officeDocument/2006/relationships/hyperlink" Target="https://www.digikey.com/en/products/detail/yageo/CC0402KRX7R8BB102/5195121?s=N4IgTCBcDaIMJwAwBZFgNICUAaB2TAHAEJECMaIAugL5A" TargetMode="External"/><Relationship Id="rId17" Type="http://schemas.openxmlformats.org/officeDocument/2006/relationships/hyperlink" Target="https://www.digikey.com/en/products/detail/murata-electronics/GRM1555C1E330JA01D/3693730?s=N4IgTCBcDaIOICUCyBGArBgwigogZjwAYApAQUJQBEQBdAXyA" TargetMode="External"/><Relationship Id="rId33" Type="http://schemas.openxmlformats.org/officeDocument/2006/relationships/hyperlink" Target="https://www.digikey.com/en/products/detail/onsemi/MMSZ5231BT1G/919749" TargetMode="External"/><Relationship Id="rId38" Type="http://schemas.openxmlformats.org/officeDocument/2006/relationships/hyperlink" Target="https://www.digikey.com/en/products/detail/murata-electronics/BLM31KN102SN1L/7564086?s=N4IgTCBcDaIEIBkCyBmAjAaQHJoAxgGUcEQBdAXyA" TargetMode="External"/><Relationship Id="rId59" Type="http://schemas.openxmlformats.org/officeDocument/2006/relationships/hyperlink" Target="https://www.lcsc.com/product-detail/SD-Card-Memory-Card-Connector_Yuandi-TF-01A_C2889258.html" TargetMode="External"/><Relationship Id="rId103" Type="http://schemas.openxmlformats.org/officeDocument/2006/relationships/hyperlink" Target="https://www.digikey.com/en/products/detail/yageo/RC0402FR-0739KL/726601" TargetMode="External"/><Relationship Id="rId108" Type="http://schemas.openxmlformats.org/officeDocument/2006/relationships/hyperlink" Target="https://www.digikey.com/en/products/detail/yageo/RC0402FR-072K2L/726553" TargetMode="External"/><Relationship Id="rId124" Type="http://schemas.openxmlformats.org/officeDocument/2006/relationships/hyperlink" Target="https://www.lcsc.com/product-detail/RS-span-style-background-color-ff0-485-span-RS-422-ICs_span-style-background-color-ff0-SIT-span-SIT3485ESA_C313015.html" TargetMode="External"/><Relationship Id="rId129" Type="http://schemas.openxmlformats.org/officeDocument/2006/relationships/hyperlink" Target="https://www.digikey.com/en/products/detail/texas-instruments/LM74700QDBVRQ1/10434692" TargetMode="External"/><Relationship Id="rId54" Type="http://schemas.openxmlformats.org/officeDocument/2006/relationships/hyperlink" Target="https://www.lcsc.com/product-detail/Electrostatic-and-Surge-Protection-TVS-span-style-background-color-ff0-ESD-span_WILLSEMI-Will-Semicon-ESD5344D-10-TR_C239666.html" TargetMode="External"/><Relationship Id="rId70" Type="http://schemas.openxmlformats.org/officeDocument/2006/relationships/hyperlink" Target="https://www.lcsc.com/product-detail/Ethernet-Connectors-Modular-Connectors-RJ45-RJ11_HANRUN-Zhongshan-HanRun-Elec-HR911130C_C50933.html" TargetMode="External"/><Relationship Id="rId75" Type="http://schemas.openxmlformats.org/officeDocument/2006/relationships/hyperlink" Target="https://www.lcsc.com/product-detail/USB-Connectors_Korean-Hroparts-Elec-TYPE-C-31-D-07_C2689965.html" TargetMode="External"/><Relationship Id="rId91" Type="http://schemas.openxmlformats.org/officeDocument/2006/relationships/hyperlink" Target="https://www.digikey.com/en/products/detail/yageo/RC0402FR-0722RL/726562" TargetMode="External"/><Relationship Id="rId96" Type="http://schemas.openxmlformats.org/officeDocument/2006/relationships/hyperlink" Target="https://www.digikey.com/en/products/detail/yageo/RT0402FRE07510RL/1072055" TargetMode="External"/><Relationship Id="rId140" Type="http://schemas.openxmlformats.org/officeDocument/2006/relationships/hyperlink" Target="https://www.lcsc.com/product-detail/Ethernet-Transceivers_Realtek-Semicon-RTL8211F-CG_C187932.html" TargetMode="External"/><Relationship Id="rId145" Type="http://schemas.openxmlformats.org/officeDocument/2006/relationships/hyperlink" Target="https://www.digikey.com/en/products/detail/sharp-socle-technology/PC817X2NIPW/21264772" TargetMode="External"/><Relationship Id="rId1" Type="http://schemas.openxmlformats.org/officeDocument/2006/relationships/hyperlink" Target="https://www.digikey.com/en/products/detail/yageo/CC0402KRX5R7BB104/2103085?s=N4IgTCBcDaIMJwAwBZFgNICUAaBWTA7AEJECMKIAugL5A" TargetMode="External"/><Relationship Id="rId6" Type="http://schemas.openxmlformats.org/officeDocument/2006/relationships/hyperlink" Target="https://www.digikey.com/en/products/detail/murata-electronics/GRM21BR61H475KE51L/4905540?s=N4IgTCBcDaIOICUCyYCMAhBA2VAJALAOwCsA0gKLGoAyIAugL5A" TargetMode="External"/><Relationship Id="rId23" Type="http://schemas.openxmlformats.org/officeDocument/2006/relationships/hyperlink" Target="https://www.digikey.com/en/products/detail/yageo/CC0402KRX5R6BB475/7164361?s=N4IgTCBcDaIMJwAwBZFgNICUAaBWTAbAEJHIDsuIAugL5A" TargetMode="External"/><Relationship Id="rId28" Type="http://schemas.openxmlformats.org/officeDocument/2006/relationships/hyperlink" Target="https://www.digikey.com/en/products/detail/yageo/CC0603KRX7R0BB104/3476111?s=N4IgTCBcDaIMJwAwDZEGYDSAlAGgdi0QCEiBGRAFhAF0BfIA" TargetMode="External"/><Relationship Id="rId49" Type="http://schemas.openxmlformats.org/officeDocument/2006/relationships/hyperlink" Target="https://www.digikey.com/en/products/detail/vishay-siliconix/SI1024X-T1-GE3/1995503?s=N4IgTCBcDaIMoEkCMAGMAWAGgWgCpOwHEBRAZhAF0BfIA" TargetMode="External"/><Relationship Id="rId114" Type="http://schemas.openxmlformats.org/officeDocument/2006/relationships/hyperlink" Target="https://www.digikey.com/en/products/detail/yageo/RC0402FR-073KL/2827586" TargetMode="External"/><Relationship Id="rId119" Type="http://schemas.openxmlformats.org/officeDocument/2006/relationships/hyperlink" Target="https://www.digikey.com/en/products/detail/yageo/RC0402FR-07499RL/726623" TargetMode="External"/><Relationship Id="rId44" Type="http://schemas.openxmlformats.org/officeDocument/2006/relationships/hyperlink" Target="https://www.digikey.com/en/products/detail/shenzhen-sunlord-electronics-co-ltd/SWPA4030S4R7MT/14119874?s=N4IgTCBcDaIMoHUAKBBALABgMwbmgSgOwCyAKiALoC%2BQA" TargetMode="External"/><Relationship Id="rId60" Type="http://schemas.openxmlformats.org/officeDocument/2006/relationships/hyperlink" Target="https://www.lcsc.com/product-detail/Card-Edge-Connectors_FOXCONN-AS0B826-S78B-7H_C426232.html" TargetMode="External"/><Relationship Id="rId65" Type="http://schemas.openxmlformats.org/officeDocument/2006/relationships/hyperlink" Target="https://www.lcsc.com/product-detail/DC-Power-Connector_Korean-Hroparts-Elec-DC-053D-25A_C2686352.html" TargetMode="External"/><Relationship Id="rId81" Type="http://schemas.openxmlformats.org/officeDocument/2006/relationships/hyperlink" Target="https://www.lcsc.com/product-detail/MOSFETs_UMW-Youtai-Semiconductor-Co-Ltd-FDN335N_C347512.html" TargetMode="External"/><Relationship Id="rId86" Type="http://schemas.openxmlformats.org/officeDocument/2006/relationships/hyperlink" Target="https://www.digikey.com/en/products/detail/yageo/RC0402FR-07100KL/726526" TargetMode="External"/><Relationship Id="rId130" Type="http://schemas.openxmlformats.org/officeDocument/2006/relationships/hyperlink" Target="https://www.digikey.com/en/products/detail/analog-devices-inc-maxim-integrated/MAX20006AFOB-VY-T/11483821" TargetMode="External"/><Relationship Id="rId135" Type="http://schemas.openxmlformats.org/officeDocument/2006/relationships/hyperlink" Target="https://www.lcsc.com/product-detail/WiFi-Modules_AMPAK-Tech-AP6256_C5248079.html" TargetMode="External"/><Relationship Id="rId151" Type="http://schemas.openxmlformats.org/officeDocument/2006/relationships/hyperlink" Target="https://www.epson.co.za/en_ZA/products/options/standard/epson-ba-t500iis%3A-m-t500ii-series%2C-24v/p/9366" TargetMode="External"/><Relationship Id="rId156" Type="http://schemas.openxmlformats.org/officeDocument/2006/relationships/hyperlink" Target="https://www.lcsc.com/product-detail/RF-Connectors-Coaxial-Connectors_HJ-Tech-HJ-SMA175_C1509213.html" TargetMode="External"/><Relationship Id="rId13" Type="http://schemas.openxmlformats.org/officeDocument/2006/relationships/hyperlink" Target="https://www.digikey.com/en/products/detail/yageo/CC0402BRNPO9BN3R9/5195031?s=N4IgTCBcDaIMJwAwBZFgEICUByAFA8gJzrYDMmhIAugL5A" TargetMode="External"/><Relationship Id="rId18" Type="http://schemas.openxmlformats.org/officeDocument/2006/relationships/hyperlink" Target="https://www.digikey.com/en/products/detail/kyocera-avx/TAJB107M010RNJ/1469629" TargetMode="External"/><Relationship Id="rId39" Type="http://schemas.openxmlformats.org/officeDocument/2006/relationships/hyperlink" Target="https://www.digikey.com/en/products/detail/amphenol-cs-fci/10029449-111RLF/2785386?s=N4IgTCBcDaIIwAYFgJwBY0oLR1wJQBkAxEAXQF8g" TargetMode="External"/><Relationship Id="rId109" Type="http://schemas.openxmlformats.org/officeDocument/2006/relationships/hyperlink" Target="https://www.digikey.com/en/products/detail/yageo/RC0402FR-07100RL/726527" TargetMode="External"/><Relationship Id="rId34" Type="http://schemas.openxmlformats.org/officeDocument/2006/relationships/hyperlink" Target="https://www.digikey.com/en/products/detail/diodes-incorporated/DRTR5V0U1SO-7/4457873?s=N4IgTCBcDaICICUAqCCsA1ADAVQIwGUB5AWgHYQBdAXyA" TargetMode="External"/><Relationship Id="rId50" Type="http://schemas.openxmlformats.org/officeDocument/2006/relationships/hyperlink" Target="https://www.digikey.com/en/products/detail/comchip-technology/SS8050-G/6138901?s=N4IgTCBcDaIMpwBwAYCsyC0BxEBdAvkA" TargetMode="External"/><Relationship Id="rId55" Type="http://schemas.openxmlformats.org/officeDocument/2006/relationships/hyperlink" Target="https://www.lcsc.com/product-detail/Electrostatic-and-Surge-Protection-TVS-span-style-background-color-ff0-ESD-span_TECH-PUBLIC-ESD9X5VU_C2875160.html" TargetMode="External"/><Relationship Id="rId76" Type="http://schemas.openxmlformats.org/officeDocument/2006/relationships/hyperlink" Target="https://www.lcsc.com/product-detail/Power-Inductors_YJYCOIN-YSPIT0630A-1R0M_C18236293.html" TargetMode="External"/><Relationship Id="rId97" Type="http://schemas.openxmlformats.org/officeDocument/2006/relationships/hyperlink" Target="https://www.digikey.com/en/products/detail/yageo/RC0603FR-0722K1L/727058" TargetMode="External"/><Relationship Id="rId104" Type="http://schemas.openxmlformats.org/officeDocument/2006/relationships/hyperlink" Target="https://www.digikey.com/en/products/detail/vishay-dale/CRCW06031K00FKEA/1174668" TargetMode="External"/><Relationship Id="rId120" Type="http://schemas.openxmlformats.org/officeDocument/2006/relationships/hyperlink" Target="https://www.digikey.com/en/products/detail/yageo/RT0402BRD0722K1L/1069134" TargetMode="External"/><Relationship Id="rId125" Type="http://schemas.openxmlformats.org/officeDocument/2006/relationships/hyperlink" Target="https://www.digikey.com/en/products/detail/diodes-incorporated/DT1240-04LP-7/4457879" TargetMode="External"/><Relationship Id="rId141" Type="http://schemas.openxmlformats.org/officeDocument/2006/relationships/hyperlink" Target="https://www.digikey.com/en/products/detail/microchip-technology/MIC94093YC6-TR/2062450" TargetMode="External"/><Relationship Id="rId146" Type="http://schemas.openxmlformats.org/officeDocument/2006/relationships/hyperlink" Target="https://www.digikey.com/en/products/detail/nexperia-usa-inc/74LVC1G17GV-125/1231446" TargetMode="External"/><Relationship Id="rId7" Type="http://schemas.openxmlformats.org/officeDocument/2006/relationships/hyperlink" Target="https://www.digikey.com/en/products/detail/yageo/CC0402KRX5R8BB105/5195107?s=N4IgTCBcDaIMJwAwBZFgNICUAaBWTAHAEJECMiuIAugL5A" TargetMode="External"/><Relationship Id="rId71" Type="http://schemas.openxmlformats.org/officeDocument/2006/relationships/hyperlink" Target="https://www.lcsc.com/product-detail/Wire-To-Board-Connector_HCTL-HC-XH-2A-G_C5341201.html" TargetMode="External"/><Relationship Id="rId92" Type="http://schemas.openxmlformats.org/officeDocument/2006/relationships/hyperlink" Target="https://www.digikey.com/en/products/detail/yageo/RT0603BRB07120RL/5926834" TargetMode="External"/><Relationship Id="rId2" Type="http://schemas.openxmlformats.org/officeDocument/2006/relationships/hyperlink" Target="https://www.digikey.com/en/products/detail/yageo/CC0402JRNPO9BN101/302758?s=N4IgTCBcDaIMJwAwBZFgFICUByAFA8gJwBC2AjImSALoC%2BQA" TargetMode="External"/><Relationship Id="rId29" Type="http://schemas.openxmlformats.org/officeDocument/2006/relationships/hyperlink" Target="https://www.digikey.com/en/products/detail/yageo/CC0603JRNPO8BN102/2103080?s=N4IgTCBcDaIMJwAwDZEGYBSAlAcgBQHkAOAIRwEZEIBdAXyA" TargetMode="External"/><Relationship Id="rId24" Type="http://schemas.openxmlformats.org/officeDocument/2006/relationships/hyperlink" Target="https://www.digikey.com/en/products/detail/murata-electronics/GJM1555C1H120GB01D/2592851?s=N4IgTCBcDaIOICkCyBGArBgwigEisADHAEIEoAiIAugL5A" TargetMode="External"/><Relationship Id="rId40" Type="http://schemas.openxmlformats.org/officeDocument/2006/relationships/hyperlink" Target="https://www.digikey.com/en/products/detail/hirose-electric-co-ltd/U-FL-R-SMT-1-80/3978495?s=N4IgTCBcDaIKoDoBiAZAtAJTQZQLIBU0BGACgA4AGAShAF0BfIA" TargetMode="External"/><Relationship Id="rId45" Type="http://schemas.openxmlformats.org/officeDocument/2006/relationships/hyperlink" Target="https://www.digikey.com/en/products/detail/taiyo-yuden/MAKK2016T2R2M/4970825?s=N4IgTCBcDaILIEEDSSwAYCMA2AKmASmHCALoC%2BQA" TargetMode="External"/><Relationship Id="rId66" Type="http://schemas.openxmlformats.org/officeDocument/2006/relationships/hyperlink" Target="https://www.lcsc.com/product-detail/SIM-Card-Connectors_XKB-Connection-XKNANO-113_C381071.html" TargetMode="External"/><Relationship Id="rId87" Type="http://schemas.openxmlformats.org/officeDocument/2006/relationships/hyperlink" Target="https://www.digikey.com/en/products/detail/yageo/AF0402JR-071ML/5900735" TargetMode="External"/><Relationship Id="rId110" Type="http://schemas.openxmlformats.org/officeDocument/2006/relationships/hyperlink" Target="https://www.digikey.com/en/products/detail/yageo/RC0402FR-0715KL/726541" TargetMode="External"/><Relationship Id="rId115" Type="http://schemas.openxmlformats.org/officeDocument/2006/relationships/hyperlink" Target="https://www.digikey.com/en/products/detail/yageo/RC0603FR-07470RL/727256" TargetMode="External"/><Relationship Id="rId131" Type="http://schemas.openxmlformats.org/officeDocument/2006/relationships/hyperlink" Target="https://www.digikey.com/en/products/detail/analog-devices-inc-maxim-integrated/MAX20008AFOC-VY-T/11483663" TargetMode="External"/><Relationship Id="rId136" Type="http://schemas.openxmlformats.org/officeDocument/2006/relationships/hyperlink" Target="https://www.lcsc.com/product-detail/Temperature-and-Humidity-Sensor_GXCAS-GXHTC3_C2837688.html" TargetMode="External"/><Relationship Id="rId157" Type="http://schemas.openxmlformats.org/officeDocument/2006/relationships/hyperlink" Target="https://www.digikey.be/en/products/detail/tdk-corporation/MCZ1210CH900CPTA0G/17394498" TargetMode="External"/><Relationship Id="rId61" Type="http://schemas.openxmlformats.org/officeDocument/2006/relationships/hyperlink" Target="https://www.lcsc.com/product-detail/Wire-To-Board-Connector_HCTL-XH-3A_C2908601.html" TargetMode="External"/><Relationship Id="rId82" Type="http://schemas.openxmlformats.org/officeDocument/2006/relationships/hyperlink" Target="https://www.digikey.com/en/products/detail/micro-commercial-co/2SK3018-TP/6616090" TargetMode="External"/><Relationship Id="rId152" Type="http://schemas.openxmlformats.org/officeDocument/2006/relationships/hyperlink" Target="https://www.elatec-rfid.com/int/product-detail/twn4-multitech-3-m" TargetMode="External"/><Relationship Id="rId19" Type="http://schemas.openxmlformats.org/officeDocument/2006/relationships/hyperlink" Target="https://www.digikey.com/en/products/detail/yageo/CC0402KRX5R8BB224/5883337?s=N4IgTCBcDaIMJwAwBZFgNICUAaBWTAHAEJFhjIgC6AvkA" TargetMode="External"/><Relationship Id="rId14" Type="http://schemas.openxmlformats.org/officeDocument/2006/relationships/hyperlink" Target="https://www.digikey.com/en/products/detail/murata-electronics/GRM1555C1H100JA01D/3661907?s=N4IgTCBcDaIOICUCyBGArBgwigEigDPgFICC%2BKAIiALoC%2BQA" TargetMode="External"/><Relationship Id="rId30" Type="http://schemas.openxmlformats.org/officeDocument/2006/relationships/hyperlink" Target="https://www.digikey.com/en/products/detail/yageo/CC0603KRX5R8BB105/2833610?s=N4IgTCBcDaIMJwAwDZEGYDSAlAGgViwA4AhYgRkTxAF0BfIA" TargetMode="External"/><Relationship Id="rId35" Type="http://schemas.openxmlformats.org/officeDocument/2006/relationships/hyperlink" Target="https://www.digikey.com/en/products/detail/littelfuse-inc/0458005-DR/1963347?s=N4IgTCBcDaIAwBYCsAOOckDoAiAlEAugL5A" TargetMode="External"/><Relationship Id="rId56" Type="http://schemas.openxmlformats.org/officeDocument/2006/relationships/hyperlink" Target="https://www.lcsc.com/product-detail/Electrostatic-and-Surge-Protection-TVS-span-style-background-color-ff0-ESD-span_WILLSEMI-Will-Semicon-ESD5302F-3-TR_C239643.html" TargetMode="External"/><Relationship Id="rId77" Type="http://schemas.openxmlformats.org/officeDocument/2006/relationships/hyperlink" Target="https://www.lcsc.com/product-detail/Light-Emitting-Diodes-LED_Foshan-NationStar-Optoelectronics-NCD0603G2_C87326.html" TargetMode="External"/><Relationship Id="rId100" Type="http://schemas.openxmlformats.org/officeDocument/2006/relationships/hyperlink" Target="https://www.digikey.com/en/products/detail/yageo/RC0603FR-072K7L/727032" TargetMode="External"/><Relationship Id="rId105" Type="http://schemas.openxmlformats.org/officeDocument/2006/relationships/hyperlink" Target="https://www.digikey.com/en/products/detail/yageo/RC0603FR-07180RL/726994" TargetMode="External"/><Relationship Id="rId126" Type="http://schemas.openxmlformats.org/officeDocument/2006/relationships/hyperlink" Target="https://www.digikey.com/en/products/detail/texas-instruments/TPD12S016PWR/2762250" TargetMode="External"/><Relationship Id="rId147" Type="http://schemas.openxmlformats.org/officeDocument/2006/relationships/hyperlink" Target="https://www.lcsc.com/product-detail/Audio-Power-OpAmps_Shenzhen-Nsiway-Tech-NS4110B_C5334145.html" TargetMode="External"/><Relationship Id="rId8" Type="http://schemas.openxmlformats.org/officeDocument/2006/relationships/hyperlink" Target="https://www.digikey.com/en/products/detail/tdk-corporation/C1005X7R1H104K050BB/2443410?s=N4IgTCBcDaIMIEYAMSCsANA7AJQQCWQBYBpAFRSQDEQBdAXyA" TargetMode="External"/><Relationship Id="rId51" Type="http://schemas.openxmlformats.org/officeDocument/2006/relationships/hyperlink" Target="https://www.digikey.com/en/products/detail/alpha-omega-semiconductor-inc/AOSS21311C/11567447?s=N4IgTCBcDaIIIHkDKSwEYDMa0GEQF0BfIA" TargetMode="External"/><Relationship Id="rId72" Type="http://schemas.openxmlformats.org/officeDocument/2006/relationships/hyperlink" Target="https://www.lcsc.com/product-detail/Wire-To-Board-Connector_HCTL-XH-4A_C2908602.html" TargetMode="External"/><Relationship Id="rId93" Type="http://schemas.openxmlformats.org/officeDocument/2006/relationships/hyperlink" Target="https://www.digikey.com/en/products/detail/yageo/RC0402FR-070RL/2827570" TargetMode="External"/><Relationship Id="rId98" Type="http://schemas.openxmlformats.org/officeDocument/2006/relationships/hyperlink" Target="https://www.digikey.com/en/products/detail/yageo/RC0402FR-075K1L/726624" TargetMode="External"/><Relationship Id="rId121" Type="http://schemas.openxmlformats.org/officeDocument/2006/relationships/hyperlink" Target="https://www.digikey.com/en/products/detail/yageo/RT0402BRD0715KL/1069050" TargetMode="External"/><Relationship Id="rId142" Type="http://schemas.openxmlformats.org/officeDocument/2006/relationships/hyperlink" Target="https://www.digikey.com/en/products/detail/microchip-technology/MIC29302WU-TR/771594" TargetMode="External"/><Relationship Id="rId3" Type="http://schemas.openxmlformats.org/officeDocument/2006/relationships/hyperlink" Target="https://www.digikey.com/en/products/detail/yageo/CC1206KKX7RDBB102/2833652?s=N4IgTCBcDaIMJwIxgAwDYDSGAaB2ASgCIBCxiKEAugL5A" TargetMode="External"/><Relationship Id="rId25" Type="http://schemas.openxmlformats.org/officeDocument/2006/relationships/hyperlink" Target="https://www.digikey.com/en/products/detail/yageo/CC0402KRX7R8BB102/5195121?s=N4IgTCBcDaIMJwAwBZFgNICUAaB2TAHAEJECMaIAugL5A" TargetMode="External"/><Relationship Id="rId46" Type="http://schemas.openxmlformats.org/officeDocument/2006/relationships/hyperlink" Target="https://www.digikey.com/en/products/detail/sunled/XZMYK68W-2/4745801?s=N4IgTCBcDaIBoC0CyBNA0gNgBwHUC0EAugL5A" TargetMode="External"/><Relationship Id="rId67" Type="http://schemas.openxmlformats.org/officeDocument/2006/relationships/hyperlink" Target="https://www.lcsc.com/product-detail/Pluggable-System-Terminal-Block_DORABO-DB2ERC-3-5-3P-GN_C430551.html" TargetMode="External"/><Relationship Id="rId116" Type="http://schemas.openxmlformats.org/officeDocument/2006/relationships/hyperlink" Target="https://www.digikey.com/en/products/detail/yageo/RC0402FR-0747KL/726616?s=N4IgTCBcDaIEoGEAMAWJYBicC0SDsKeA0gDIgC6AvkA" TargetMode="External"/><Relationship Id="rId137" Type="http://schemas.openxmlformats.org/officeDocument/2006/relationships/hyperlink" Target="https://www.lcsc.com/product-detail/Darlington-Transistor-Arrays_Mixic-ULN2003A_C181730.html" TargetMode="External"/><Relationship Id="rId158" Type="http://schemas.openxmlformats.org/officeDocument/2006/relationships/hyperlink" Target="https://www.digikey.com/en/products/detail/texas-instruments/MAX3232EIDR/1089416?s=N4IgTCBcDaILIEEAaBmMaCiBJAIgJRAF0BfIA" TargetMode="External"/><Relationship Id="rId20" Type="http://schemas.openxmlformats.org/officeDocument/2006/relationships/hyperlink" Target="https://www.digikey.com/en/products/detail/yageo/CC0402MRX5R6BB106/7164364?s=N4IgTCBcDaIMJwAwBZFgLICUAaBWTAbAEJECMiBIAugL5A" TargetMode="External"/><Relationship Id="rId41" Type="http://schemas.openxmlformats.org/officeDocument/2006/relationships/hyperlink" Target="https://www.digikey.com/en/products/detail/amphenol-cs-fci/10118192-0001LF/2785387?s=N4IgTCBcDaIIwAY5wBxwJxgLQN3AMgGIgC6AvkA" TargetMode="External"/><Relationship Id="rId62" Type="http://schemas.openxmlformats.org/officeDocument/2006/relationships/hyperlink" Target="https://www.lcsc.com/product-detail/Wire-To-Board-Connector_HCTL-HC-XH-3A-R_C7466690.html" TargetMode="External"/><Relationship Id="rId83" Type="http://schemas.openxmlformats.org/officeDocument/2006/relationships/hyperlink" Target="https://www.lcsc.com/product-detail/Bipolar-Transistors-BJT_TECH-PUBLIC-MMBT3904M_C2923360.html" TargetMode="External"/><Relationship Id="rId88" Type="http://schemas.openxmlformats.org/officeDocument/2006/relationships/hyperlink" Target="https://www.digikey.com/en/products/detail/yageo/RC0402FR-074K7L/2827563" TargetMode="External"/><Relationship Id="rId111" Type="http://schemas.openxmlformats.org/officeDocument/2006/relationships/hyperlink" Target="https://www.digikey.com/en/products/detail/yageo/RC0402FR-0720KL/726557" TargetMode="External"/><Relationship Id="rId132" Type="http://schemas.openxmlformats.org/officeDocument/2006/relationships/hyperlink" Target="https://www.digikey.com/en/products/detail/simcom-wireless-solutions-limited/A7682E/15841465" TargetMode="External"/><Relationship Id="rId153" Type="http://schemas.openxmlformats.org/officeDocument/2006/relationships/hyperlink" Target="https://www.amazon.com/Honeywell-1900G-HD-Density-Barcode-Scanner/dp/B00LRAO3DC" TargetMode="External"/><Relationship Id="rId15" Type="http://schemas.openxmlformats.org/officeDocument/2006/relationships/hyperlink" Target="https://www.digikey.com/en/products/detail/kyocera-avx/TAJE477K010RNJ/563853?s=N4IgTCBcDaICoEEBSBRALAdgwaQAwEZcAlAOSRAF0BfIA" TargetMode="External"/><Relationship Id="rId36" Type="http://schemas.openxmlformats.org/officeDocument/2006/relationships/hyperlink" Target="https://www.digikey.com/en/products/detail/murata-electronics/BLM21PG300SN1D/584262?s=N4IgTCBcDaIEIBkCyYCMAFA4gZgAy4GUA5VAERAF0BfIA" TargetMode="External"/><Relationship Id="rId57" Type="http://schemas.openxmlformats.org/officeDocument/2006/relationships/hyperlink" Target="https://www.lcsc.com/product-detail/Electrostatic-and-Surge-Protection-TVS-span-style-background-color-ff0-ESD-span_WILLSEMI-Will-Semicon-ESD5651N-2-TR_C239784.html" TargetMode="External"/><Relationship Id="rId106" Type="http://schemas.openxmlformats.org/officeDocument/2006/relationships/hyperlink" Target="https://www.digikey.com/en/products/detail/yageo/RC0603JR-070RL/726675" TargetMode="External"/><Relationship Id="rId127" Type="http://schemas.openxmlformats.org/officeDocument/2006/relationships/hyperlink" Target="https://www.lcsc.com/product-detail/Power-Distribution-Switches_Silergy-Corp-SY6280AAC_C55136.html" TargetMode="External"/><Relationship Id="rId10" Type="http://schemas.openxmlformats.org/officeDocument/2006/relationships/hyperlink" Target="https://www.digikey.com/en/products/detail/murata-electronics/GRM31CR61E476ME44K/13910174" TargetMode="External"/><Relationship Id="rId31" Type="http://schemas.openxmlformats.org/officeDocument/2006/relationships/hyperlink" Target="https://www.digikey.com/en/products/detail/diodes-incorporated/SMBJ33CA-13-F/814613?s=N4IgTCBcDaIMoFkBCApAzGgwgQQLQEY1cAxEAXQF8g" TargetMode="External"/><Relationship Id="rId52" Type="http://schemas.openxmlformats.org/officeDocument/2006/relationships/hyperlink" Target="https://www.lcsc.com/product-detail/Aluminum-Electrolytic-Capacitors-SMD_ROQANG-RVT1H101M0607_C3151829.html" TargetMode="External"/><Relationship Id="rId73" Type="http://schemas.openxmlformats.org/officeDocument/2006/relationships/hyperlink" Target="https://www.lcsc.com/product-detail/Audio-Connector-Headphone_Korean-Hroparts-Elec-PJ-332D-6A_C840336.html" TargetMode="External"/><Relationship Id="rId78" Type="http://schemas.openxmlformats.org/officeDocument/2006/relationships/hyperlink" Target="https://www.lcsc.com/product-detail/Light-Emitting-Diodes-LED_Foshan-NationStar-Optoelectronics-NCD0603R3_C3151730.html" TargetMode="External"/><Relationship Id="rId94" Type="http://schemas.openxmlformats.org/officeDocument/2006/relationships/hyperlink" Target="https://www.digikey.com/en/products/detail/yageo/YC164-FR-0710KL/5952601" TargetMode="External"/><Relationship Id="rId99" Type="http://schemas.openxmlformats.org/officeDocument/2006/relationships/hyperlink" Target="https://www.digikey.com/en/products/detail/yageo/RC0603FR-0747K5L/727255" TargetMode="External"/><Relationship Id="rId101" Type="http://schemas.openxmlformats.org/officeDocument/2006/relationships/hyperlink" Target="https://www.digikey.com/en/products/detail/yageo/RC0603JR-07330RL/726769" TargetMode="External"/><Relationship Id="rId122" Type="http://schemas.openxmlformats.org/officeDocument/2006/relationships/hyperlink" Target="https://www.digikey.com/en/products/detail/yageo/YC164-FR-0722RL/5952662" TargetMode="External"/><Relationship Id="rId143" Type="http://schemas.openxmlformats.org/officeDocument/2006/relationships/hyperlink" Target="https://www.digikey.com/en/products/detail/texas-instruments/LM1117MPX-1-8-NOPB/366731" TargetMode="External"/><Relationship Id="rId148" Type="http://schemas.openxmlformats.org/officeDocument/2006/relationships/hyperlink" Target="https://www.digikey.com/en/products/detail/onsemi/FSUSB42MUX/2036916" TargetMode="External"/><Relationship Id="rId4" Type="http://schemas.openxmlformats.org/officeDocument/2006/relationships/hyperlink" Target="https://www.digikey.com/en/products/detail/yageo/CC0402KRX5R7BB105/5195100?s=N4IgTCBcDaIMJwAwBZFgNICUAaBWTA7AEJECMiuIAugL5A" TargetMode="External"/><Relationship Id="rId9" Type="http://schemas.openxmlformats.org/officeDocument/2006/relationships/hyperlink" Target="https://www.digikey.com/en/products/detail/murata-electronics/GRM21BR61H106ME43L/10326317?s=N4IgTCBcDaIOICUCyYCMAhBA2VAJVADFkgKIAsAzADIgC6AvkA" TargetMode="External"/><Relationship Id="rId26" Type="http://schemas.openxmlformats.org/officeDocument/2006/relationships/hyperlink" Target="https://www.digikey.com/en/products/detail/walsin-technology-corporation/0402N270J250CT/9354788?s=N4IgTCBcDaIAwBY5gHJgOxwFJgKxwGEAVEAXQF8g" TargetMode="External"/><Relationship Id="rId47" Type="http://schemas.openxmlformats.org/officeDocument/2006/relationships/hyperlink" Target="https://www.digikey.com/en/products/detail/sunled/XZMDK68W-2/4745956?s=N4IgTCBcDaIBoC0CyARA0gNgBwHUC0EAugL5A" TargetMode="External"/><Relationship Id="rId68" Type="http://schemas.openxmlformats.org/officeDocument/2006/relationships/hyperlink" Target="https://www.lcsc.com/product-detail/Pin-Headers_HCTL-PZ254-2-10-S_C3294468.html" TargetMode="External"/><Relationship Id="rId89" Type="http://schemas.openxmlformats.org/officeDocument/2006/relationships/hyperlink" Target="https://www.digikey.com/en/products/detail/yageo/RC0402FR-071KL/726513" TargetMode="External"/><Relationship Id="rId112" Type="http://schemas.openxmlformats.org/officeDocument/2006/relationships/hyperlink" Target="https://www.digikey.com/en/products/detail/yageo/RC0402FR-07120RL/726535" TargetMode="External"/><Relationship Id="rId133" Type="http://schemas.openxmlformats.org/officeDocument/2006/relationships/hyperlink" Target="https://www.digikey.com/en/products/detail/texas-instruments/TXB0102DCUT/1910149" TargetMode="External"/><Relationship Id="rId154" Type="http://schemas.openxmlformats.org/officeDocument/2006/relationships/hyperlink" Target="https://www.aliexpress.com/item/3256806445988559.html?" TargetMode="External"/><Relationship Id="rId16" Type="http://schemas.openxmlformats.org/officeDocument/2006/relationships/hyperlink" Target="https://www.digikey.com/en/products/detail/yageo/CC0603KRX5R9BB104/5883729?s=N4IgTCBcDaIMJwAwDZEGYDSAlAGgViwE4AhYgRkQBYQBdAXyA" TargetMode="External"/><Relationship Id="rId37" Type="http://schemas.openxmlformats.org/officeDocument/2006/relationships/hyperlink" Target="https://www.digikey.com/en/products/detail/murata-electronics/BLM18PG181SN1D/1634634?s=N4IgTCBcDaIEIBkCyBGAHABQOLpQZQDkUAREAXQF8g" TargetMode="External"/><Relationship Id="rId58" Type="http://schemas.openxmlformats.org/officeDocument/2006/relationships/hyperlink" Target="https://www.lcsc.com/product-detail/Resettable-Fuses_TECHFUSE-SMD0603-050_C69679.html" TargetMode="External"/><Relationship Id="rId79" Type="http://schemas.openxmlformats.org/officeDocument/2006/relationships/hyperlink" Target="https://www.lcsc.com/product-detail/Light-Emitting-Diodes-LED_Foshan-NationStar-Optoelectronics-NCD0603Y2_C89811.html" TargetMode="External"/><Relationship Id="rId102" Type="http://schemas.openxmlformats.org/officeDocument/2006/relationships/hyperlink" Target="https://www.digikey.com/en/products/detail/yageo/RC0402FR-0712KL/726532" TargetMode="External"/><Relationship Id="rId123" Type="http://schemas.openxmlformats.org/officeDocument/2006/relationships/hyperlink" Target="https://www.lcsc.com/product-detail/Tactile-Switches_XKB-Connection-TS-1185EC-C-D-B_C318893.html" TargetMode="External"/><Relationship Id="rId144" Type="http://schemas.openxmlformats.org/officeDocument/2006/relationships/hyperlink" Target="https://www.digikey.com/en/products/detail/texas-instruments/TCA6424ARGJR/2411677" TargetMode="External"/><Relationship Id="rId90" Type="http://schemas.openxmlformats.org/officeDocument/2006/relationships/hyperlink" Target="https://www.digikey.com/en/products/detail/yageo/RC0603FR-0710KL/726880" TargetMode="External"/><Relationship Id="rId27" Type="http://schemas.openxmlformats.org/officeDocument/2006/relationships/hyperlink" Target="https://www.digikey.com/en/products/detail/yageo/CC0402KRX7R9BB153/5883374?s=N4IgTCBcDaIMJwAwBZFgNICUAaB2TAnAEJECMArAMwgC6AvkA" TargetMode="External"/><Relationship Id="rId48" Type="http://schemas.openxmlformats.org/officeDocument/2006/relationships/hyperlink" Target="https://www.digikey.com/en/products/detail/sunled/XZCBD68W-2/4901899?s=N4IgTCBcDaIBoC0DCAhAIgNgBwHUC0EAugL5A" TargetMode="External"/><Relationship Id="rId69" Type="http://schemas.openxmlformats.org/officeDocument/2006/relationships/hyperlink" Target="https://www.lcsc.com/product-detail/Wire-To-Board-Connector_HCTL-XH-4A-L_C2979569.html" TargetMode="External"/><Relationship Id="rId113" Type="http://schemas.openxmlformats.org/officeDocument/2006/relationships/hyperlink" Target="https://www.digikey.com/en/products/detail/yageo/RC0402FR-072K49L/2827582" TargetMode="External"/><Relationship Id="rId134" Type="http://schemas.openxmlformats.org/officeDocument/2006/relationships/hyperlink" Target="https://www.lcsc.com/product-detail/Electrostatic-and-Surge-Protection-TVS-ESD_ElecSuper-SMF05CT1G-ES_C518031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168"/>
  <sheetViews>
    <sheetView tabSelected="1" topLeftCell="D61" workbookViewId="0">
      <selection activeCell="P71" sqref="P71"/>
    </sheetView>
  </sheetViews>
  <sheetFormatPr defaultColWidth="9" defaultRowHeight="15"/>
  <cols>
    <col min="2" max="2" width="4.5703125" style="4" customWidth="1"/>
    <col min="3" max="3" width="18.7109375" style="4" customWidth="1"/>
    <col min="4" max="4" width="36" customWidth="1"/>
    <col min="5" max="5" width="30" customWidth="1"/>
    <col min="6" max="6" width="26.5703125" customWidth="1"/>
    <col min="7" max="7" width="33.42578125" customWidth="1"/>
    <col min="8" max="8" width="14.7109375" customWidth="1"/>
    <col min="9" max="9" width="8.5703125" customWidth="1"/>
    <col min="10" max="10" width="8.7109375" customWidth="1"/>
    <col min="11" max="11" width="18.28515625" customWidth="1"/>
    <col min="12" max="12" width="8.7109375" customWidth="1"/>
    <col min="13" max="13" width="22.5703125" customWidth="1"/>
    <col min="14" max="14" width="19.28515625" customWidth="1"/>
    <col min="15" max="15" width="29.42578125" customWidth="1"/>
    <col min="17" max="17" width="25.28515625" bestFit="1" customWidth="1"/>
  </cols>
  <sheetData>
    <row r="1" spans="1:15" ht="15.75" thickBot="1">
      <c r="A1" s="5"/>
      <c r="B1" s="6"/>
      <c r="C1" s="6"/>
      <c r="D1" s="7"/>
      <c r="E1" s="7"/>
      <c r="F1" s="7"/>
      <c r="G1" s="7"/>
      <c r="H1" s="7"/>
      <c r="I1" s="46"/>
      <c r="J1" s="46"/>
      <c r="K1" s="46"/>
      <c r="L1" s="46"/>
      <c r="M1" s="46"/>
      <c r="N1" s="46"/>
      <c r="O1" s="46"/>
    </row>
    <row r="2" spans="1:15" ht="15.75" thickBot="1">
      <c r="A2" s="5"/>
      <c r="B2" s="8" t="s">
        <v>0</v>
      </c>
      <c r="C2" s="8" t="s">
        <v>1</v>
      </c>
      <c r="D2" s="8" t="s">
        <v>2</v>
      </c>
      <c r="E2" s="9" t="s">
        <v>3</v>
      </c>
      <c r="F2" s="8" t="s">
        <v>4</v>
      </c>
      <c r="G2" s="9" t="s">
        <v>5</v>
      </c>
      <c r="H2" s="8" t="s">
        <v>6</v>
      </c>
      <c r="I2" s="9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13</v>
      </c>
    </row>
    <row r="3" spans="1:15" ht="132.75" thickBot="1">
      <c r="A3" s="5"/>
      <c r="B3" s="10">
        <f t="shared" ref="B3:B34" si="0">ROW(B3)-ROW($B$2)</f>
        <v>1</v>
      </c>
      <c r="C3" s="11" t="s">
        <v>14</v>
      </c>
      <c r="D3" s="12" t="s">
        <v>15</v>
      </c>
      <c r="E3" s="13" t="s">
        <v>16</v>
      </c>
      <c r="F3" s="12" t="s">
        <v>17</v>
      </c>
      <c r="G3" s="13" t="s">
        <v>18</v>
      </c>
      <c r="H3" s="12" t="s">
        <v>19</v>
      </c>
      <c r="I3" s="13" t="s">
        <v>20</v>
      </c>
      <c r="J3" s="12">
        <v>97</v>
      </c>
      <c r="K3" s="12">
        <f>3*J3</f>
        <v>291</v>
      </c>
      <c r="L3" s="17" t="s">
        <v>21</v>
      </c>
      <c r="M3" s="18">
        <v>1.0699999999999999E-2</v>
      </c>
      <c r="N3" s="18">
        <f>M3*K3</f>
        <v>3.1136999999999997</v>
      </c>
      <c r="O3" s="12"/>
    </row>
    <row r="4" spans="1:15" ht="15.75" thickBot="1">
      <c r="A4" s="5"/>
      <c r="B4" s="10">
        <f t="shared" si="0"/>
        <v>2</v>
      </c>
      <c r="C4" s="14" t="s">
        <v>14</v>
      </c>
      <c r="D4" s="15" t="s">
        <v>22</v>
      </c>
      <c r="E4" s="16" t="s">
        <v>23</v>
      </c>
      <c r="F4" s="15" t="s">
        <v>17</v>
      </c>
      <c r="G4" s="16" t="s">
        <v>24</v>
      </c>
      <c r="H4" s="15" t="s">
        <v>19</v>
      </c>
      <c r="I4" s="16" t="s">
        <v>25</v>
      </c>
      <c r="J4" s="15">
        <v>2</v>
      </c>
      <c r="K4" s="12">
        <f t="shared" ref="K4:K67" si="1">3*J4</f>
        <v>6</v>
      </c>
      <c r="L4" s="17" t="s">
        <v>21</v>
      </c>
      <c r="M4" s="18">
        <v>0.1</v>
      </c>
      <c r="N4" s="18">
        <f t="shared" ref="N4:N15" si="2">M4*K4</f>
        <v>0.60000000000000009</v>
      </c>
      <c r="O4" s="15"/>
    </row>
    <row r="5" spans="1:15" ht="15.75" thickBot="1">
      <c r="A5" s="5"/>
      <c r="B5" s="10">
        <f t="shared" si="0"/>
        <v>3</v>
      </c>
      <c r="C5" s="11" t="s">
        <v>14</v>
      </c>
      <c r="D5" s="12" t="s">
        <v>26</v>
      </c>
      <c r="E5" s="13" t="s">
        <v>27</v>
      </c>
      <c r="F5" s="12" t="s">
        <v>28</v>
      </c>
      <c r="G5" s="13" t="s">
        <v>29</v>
      </c>
      <c r="H5" s="12" t="s">
        <v>19</v>
      </c>
      <c r="I5" s="13" t="s">
        <v>30</v>
      </c>
      <c r="J5" s="12">
        <v>7</v>
      </c>
      <c r="K5" s="12">
        <f t="shared" si="1"/>
        <v>21</v>
      </c>
      <c r="L5" s="17" t="s">
        <v>21</v>
      </c>
      <c r="M5" s="18">
        <v>0.20899999999999999</v>
      </c>
      <c r="N5" s="18">
        <f t="shared" si="2"/>
        <v>4.3890000000000002</v>
      </c>
      <c r="O5" s="12"/>
    </row>
    <row r="6" spans="1:15" ht="15.75" thickBot="1">
      <c r="A6" s="5"/>
      <c r="B6" s="10">
        <f t="shared" si="0"/>
        <v>4</v>
      </c>
      <c r="C6" s="14" t="s">
        <v>14</v>
      </c>
      <c r="D6" s="15" t="s">
        <v>31</v>
      </c>
      <c r="E6" s="16" t="s">
        <v>32</v>
      </c>
      <c r="F6" s="15" t="s">
        <v>17</v>
      </c>
      <c r="G6" s="16" t="s">
        <v>33</v>
      </c>
      <c r="H6" s="15" t="s">
        <v>19</v>
      </c>
      <c r="I6" s="16" t="s">
        <v>34</v>
      </c>
      <c r="J6" s="15">
        <v>4</v>
      </c>
      <c r="K6" s="12">
        <f t="shared" si="1"/>
        <v>12</v>
      </c>
      <c r="L6" s="17" t="s">
        <v>21</v>
      </c>
      <c r="M6" s="18">
        <v>0.14499999999999999</v>
      </c>
      <c r="N6" s="18">
        <f t="shared" si="2"/>
        <v>1.7399999999999998</v>
      </c>
      <c r="O6" s="15"/>
    </row>
    <row r="7" spans="1:15" ht="15.75" thickBot="1">
      <c r="A7" s="5"/>
      <c r="B7" s="10">
        <f t="shared" si="0"/>
        <v>5</v>
      </c>
      <c r="C7" s="11" t="s">
        <v>14</v>
      </c>
      <c r="D7" s="12" t="s">
        <v>35</v>
      </c>
      <c r="E7" s="13" t="s">
        <v>36</v>
      </c>
      <c r="F7" s="12" t="s">
        <v>37</v>
      </c>
      <c r="G7" s="13" t="s">
        <v>38</v>
      </c>
      <c r="H7" s="12" t="s">
        <v>19</v>
      </c>
      <c r="I7" s="13" t="s">
        <v>39</v>
      </c>
      <c r="J7" s="12">
        <v>4</v>
      </c>
      <c r="K7" s="12">
        <f t="shared" si="1"/>
        <v>12</v>
      </c>
      <c r="L7" s="17" t="s">
        <v>21</v>
      </c>
      <c r="M7" s="18">
        <v>0.45600000000000002</v>
      </c>
      <c r="N7" s="18">
        <f t="shared" si="2"/>
        <v>5.4720000000000004</v>
      </c>
      <c r="O7" s="12"/>
    </row>
    <row r="8" spans="1:15" ht="15.75" thickBot="1">
      <c r="A8" s="5"/>
      <c r="B8" s="10">
        <f t="shared" si="0"/>
        <v>6</v>
      </c>
      <c r="C8" s="14" t="s">
        <v>14</v>
      </c>
      <c r="D8" s="15" t="s">
        <v>40</v>
      </c>
      <c r="E8" s="16" t="s">
        <v>41</v>
      </c>
      <c r="F8" s="15" t="s">
        <v>42</v>
      </c>
      <c r="G8" s="16" t="s">
        <v>43</v>
      </c>
      <c r="H8" s="15" t="s">
        <v>44</v>
      </c>
      <c r="I8" s="16" t="s">
        <v>45</v>
      </c>
      <c r="J8" s="15">
        <v>3</v>
      </c>
      <c r="K8" s="12">
        <f t="shared" si="1"/>
        <v>9</v>
      </c>
      <c r="L8" s="17" t="s">
        <v>21</v>
      </c>
      <c r="M8" s="18">
        <v>0.28000000000000003</v>
      </c>
      <c r="N8" s="18">
        <f t="shared" si="2"/>
        <v>2.5200000000000005</v>
      </c>
      <c r="O8" s="15"/>
    </row>
    <row r="9" spans="1:15" ht="15.75" thickBot="1">
      <c r="A9" s="5"/>
      <c r="B9" s="10">
        <f t="shared" si="0"/>
        <v>7</v>
      </c>
      <c r="C9" s="11" t="s">
        <v>14</v>
      </c>
      <c r="D9" s="12" t="s">
        <v>46</v>
      </c>
      <c r="E9" s="13" t="s">
        <v>47</v>
      </c>
      <c r="F9" s="12" t="s">
        <v>17</v>
      </c>
      <c r="G9" s="13" t="s">
        <v>48</v>
      </c>
      <c r="H9" s="12" t="s">
        <v>19</v>
      </c>
      <c r="I9" s="13" t="s">
        <v>34</v>
      </c>
      <c r="J9" s="12">
        <v>4</v>
      </c>
      <c r="K9" s="12">
        <f t="shared" si="1"/>
        <v>12</v>
      </c>
      <c r="L9" s="17" t="s">
        <v>21</v>
      </c>
      <c r="M9" s="18">
        <v>0.17299999999999999</v>
      </c>
      <c r="N9" s="18">
        <f t="shared" si="2"/>
        <v>2.0759999999999996</v>
      </c>
      <c r="O9" s="12"/>
    </row>
    <row r="10" spans="1:15" ht="24.75" thickBot="1">
      <c r="A10" s="5"/>
      <c r="B10" s="10">
        <f t="shared" si="0"/>
        <v>8</v>
      </c>
      <c r="C10" s="14" t="s">
        <v>14</v>
      </c>
      <c r="D10" s="15" t="s">
        <v>49</v>
      </c>
      <c r="E10" s="16" t="s">
        <v>50</v>
      </c>
      <c r="F10" s="15" t="s">
        <v>51</v>
      </c>
      <c r="G10" s="16" t="s">
        <v>52</v>
      </c>
      <c r="H10" s="15" t="s">
        <v>53</v>
      </c>
      <c r="I10" s="16" t="s">
        <v>20</v>
      </c>
      <c r="J10" s="15">
        <v>13</v>
      </c>
      <c r="K10" s="12">
        <f t="shared" si="1"/>
        <v>39</v>
      </c>
      <c r="L10" s="17" t="s">
        <v>21</v>
      </c>
      <c r="M10" s="18">
        <v>5.6000000000000001E-2</v>
      </c>
      <c r="N10" s="18">
        <f t="shared" si="2"/>
        <v>2.1840000000000002</v>
      </c>
      <c r="O10" s="15"/>
    </row>
    <row r="11" spans="1:15" ht="15.75" thickBot="1">
      <c r="A11" s="5"/>
      <c r="B11" s="10">
        <f t="shared" si="0"/>
        <v>9</v>
      </c>
      <c r="C11" s="11" t="s">
        <v>14</v>
      </c>
      <c r="D11" s="12" t="s">
        <v>54</v>
      </c>
      <c r="E11" s="13" t="s">
        <v>55</v>
      </c>
      <c r="F11" s="12" t="s">
        <v>42</v>
      </c>
      <c r="G11" s="13" t="s">
        <v>56</v>
      </c>
      <c r="H11" s="12" t="s">
        <v>44</v>
      </c>
      <c r="I11" s="13" t="s">
        <v>39</v>
      </c>
      <c r="J11" s="12">
        <v>4</v>
      </c>
      <c r="K11" s="12">
        <f t="shared" si="1"/>
        <v>12</v>
      </c>
      <c r="L11" s="17" t="s">
        <v>21</v>
      </c>
      <c r="M11" s="18">
        <v>0.224</v>
      </c>
      <c r="N11" s="18">
        <f t="shared" si="2"/>
        <v>2.6880000000000002</v>
      </c>
      <c r="O11" s="12"/>
    </row>
    <row r="12" spans="1:15" ht="15.75" thickBot="1">
      <c r="A12" s="5"/>
      <c r="B12" s="10">
        <f t="shared" si="0"/>
        <v>10</v>
      </c>
      <c r="C12" s="14" t="s">
        <v>14</v>
      </c>
      <c r="D12" s="15" t="s">
        <v>57</v>
      </c>
      <c r="E12" s="16" t="s">
        <v>58</v>
      </c>
      <c r="F12" s="15" t="s">
        <v>28</v>
      </c>
      <c r="G12" s="16" t="s">
        <v>59</v>
      </c>
      <c r="H12" s="15" t="s">
        <v>44</v>
      </c>
      <c r="I12" s="16" t="s">
        <v>60</v>
      </c>
      <c r="J12" s="15">
        <v>4</v>
      </c>
      <c r="K12" s="12">
        <f t="shared" si="1"/>
        <v>12</v>
      </c>
      <c r="L12" s="17" t="s">
        <v>21</v>
      </c>
      <c r="M12" s="18">
        <v>0.753</v>
      </c>
      <c r="N12" s="18">
        <f t="shared" si="2"/>
        <v>9.0359999999999996</v>
      </c>
      <c r="O12" s="15"/>
    </row>
    <row r="13" spans="1:15" ht="15.75" thickBot="1">
      <c r="A13" s="5"/>
      <c r="B13" s="10">
        <f t="shared" si="0"/>
        <v>11</v>
      </c>
      <c r="C13" s="11" t="s">
        <v>14</v>
      </c>
      <c r="D13" s="12" t="s">
        <v>61</v>
      </c>
      <c r="E13" s="13" t="s">
        <v>62</v>
      </c>
      <c r="F13" s="12" t="s">
        <v>17</v>
      </c>
      <c r="G13" s="13" t="s">
        <v>63</v>
      </c>
      <c r="H13" s="12" t="s">
        <v>44</v>
      </c>
      <c r="I13" s="13" t="s">
        <v>64</v>
      </c>
      <c r="J13" s="12">
        <v>2</v>
      </c>
      <c r="K13" s="12">
        <f t="shared" si="1"/>
        <v>6</v>
      </c>
      <c r="L13" s="17" t="s">
        <v>21</v>
      </c>
      <c r="M13" s="18">
        <v>0.22</v>
      </c>
      <c r="N13" s="18">
        <f t="shared" si="2"/>
        <v>1.32</v>
      </c>
      <c r="O13" s="12"/>
    </row>
    <row r="14" spans="1:15" ht="15.75" thickBot="1">
      <c r="A14" s="5"/>
      <c r="B14" s="10">
        <f t="shared" si="0"/>
        <v>12</v>
      </c>
      <c r="C14" s="14" t="s">
        <v>14</v>
      </c>
      <c r="D14" s="15" t="s">
        <v>65</v>
      </c>
      <c r="E14" s="16" t="s">
        <v>66</v>
      </c>
      <c r="F14" s="15" t="s">
        <v>17</v>
      </c>
      <c r="G14" s="16" t="s">
        <v>67</v>
      </c>
      <c r="H14" s="15" t="s">
        <v>19</v>
      </c>
      <c r="I14" s="16" t="s">
        <v>68</v>
      </c>
      <c r="J14" s="15">
        <v>2</v>
      </c>
      <c r="K14" s="12">
        <f t="shared" si="1"/>
        <v>6</v>
      </c>
      <c r="L14" s="17" t="s">
        <v>21</v>
      </c>
      <c r="M14" s="18">
        <v>0.1</v>
      </c>
      <c r="N14" s="18">
        <f t="shared" si="2"/>
        <v>0.60000000000000009</v>
      </c>
      <c r="O14" s="15"/>
    </row>
    <row r="15" spans="1:15" ht="15.75" thickBot="1">
      <c r="A15" s="5"/>
      <c r="B15" s="10">
        <f t="shared" si="0"/>
        <v>13</v>
      </c>
      <c r="C15" s="11" t="s">
        <v>14</v>
      </c>
      <c r="D15" s="12" t="s">
        <v>69</v>
      </c>
      <c r="E15" s="13" t="s">
        <v>70</v>
      </c>
      <c r="F15" s="12" t="s">
        <v>17</v>
      </c>
      <c r="G15" s="13" t="s">
        <v>71</v>
      </c>
      <c r="H15" s="12" t="s">
        <v>19</v>
      </c>
      <c r="I15" s="13" t="s">
        <v>72</v>
      </c>
      <c r="J15" s="12">
        <v>2</v>
      </c>
      <c r="K15" s="12">
        <f t="shared" si="1"/>
        <v>6</v>
      </c>
      <c r="L15" s="19" t="s">
        <v>21</v>
      </c>
      <c r="M15" s="18">
        <v>0.1</v>
      </c>
      <c r="N15" s="18">
        <f t="shared" si="2"/>
        <v>0.60000000000000009</v>
      </c>
      <c r="O15" s="12"/>
    </row>
    <row r="16" spans="1:15" ht="15.75" thickBot="1">
      <c r="A16" s="5"/>
      <c r="B16" s="10">
        <f t="shared" si="0"/>
        <v>14</v>
      </c>
      <c r="C16" s="14" t="s">
        <v>14</v>
      </c>
      <c r="D16" s="15" t="s">
        <v>73</v>
      </c>
      <c r="E16" s="16" t="s">
        <v>74</v>
      </c>
      <c r="F16" s="15" t="s">
        <v>17</v>
      </c>
      <c r="G16" s="16" t="s">
        <v>75</v>
      </c>
      <c r="H16" s="15" t="s">
        <v>44</v>
      </c>
      <c r="I16" s="16" t="s">
        <v>76</v>
      </c>
      <c r="J16" s="15">
        <v>2</v>
      </c>
      <c r="K16" s="12">
        <f t="shared" si="1"/>
        <v>6</v>
      </c>
      <c r="L16" s="19" t="s">
        <v>21</v>
      </c>
      <c r="M16" s="18">
        <v>0.1</v>
      </c>
      <c r="N16" s="18">
        <f t="shared" ref="N16:N29" si="3">M16*K16</f>
        <v>0.60000000000000009</v>
      </c>
      <c r="O16" s="15"/>
    </row>
    <row r="17" spans="1:15" ht="15.75" thickBot="1">
      <c r="A17" s="5"/>
      <c r="B17" s="10">
        <f t="shared" si="0"/>
        <v>15</v>
      </c>
      <c r="C17" s="11" t="s">
        <v>14</v>
      </c>
      <c r="D17" s="12" t="s">
        <v>77</v>
      </c>
      <c r="E17" s="13" t="s">
        <v>78</v>
      </c>
      <c r="F17" s="12" t="s">
        <v>79</v>
      </c>
      <c r="G17" s="13" t="s">
        <v>80</v>
      </c>
      <c r="H17" s="12" t="s">
        <v>81</v>
      </c>
      <c r="I17" s="13" t="s">
        <v>82</v>
      </c>
      <c r="J17" s="12">
        <v>1</v>
      </c>
      <c r="K17" s="12">
        <f t="shared" si="1"/>
        <v>3</v>
      </c>
      <c r="L17" s="19" t="s">
        <v>21</v>
      </c>
      <c r="M17" s="18">
        <v>2.37</v>
      </c>
      <c r="N17" s="18">
        <f t="shared" si="3"/>
        <v>7.11</v>
      </c>
      <c r="O17" s="12"/>
    </row>
    <row r="18" spans="1:15" ht="15.75" thickBot="1">
      <c r="A18" s="5"/>
      <c r="B18" s="10">
        <f t="shared" si="0"/>
        <v>16</v>
      </c>
      <c r="C18" s="14" t="s">
        <v>14</v>
      </c>
      <c r="D18" s="15" t="s">
        <v>83</v>
      </c>
      <c r="E18" s="16" t="s">
        <v>84</v>
      </c>
      <c r="F18" s="15" t="s">
        <v>37</v>
      </c>
      <c r="G18" s="16" t="s">
        <v>85</v>
      </c>
      <c r="H18" s="15" t="s">
        <v>19</v>
      </c>
      <c r="I18" s="16" t="s">
        <v>20</v>
      </c>
      <c r="J18" s="15">
        <v>1</v>
      </c>
      <c r="K18" s="12">
        <f t="shared" si="1"/>
        <v>3</v>
      </c>
      <c r="L18" s="19" t="s">
        <v>21</v>
      </c>
      <c r="M18" s="18">
        <v>0.1</v>
      </c>
      <c r="N18" s="18">
        <f t="shared" si="3"/>
        <v>0.30000000000000004</v>
      </c>
      <c r="O18" s="15"/>
    </row>
    <row r="19" spans="1:15" ht="15.75" thickBot="1">
      <c r="A19" s="5"/>
      <c r="B19" s="10">
        <f t="shared" si="0"/>
        <v>17</v>
      </c>
      <c r="C19" s="11" t="s">
        <v>14</v>
      </c>
      <c r="D19" s="12" t="s">
        <v>86</v>
      </c>
      <c r="E19" s="13" t="s">
        <v>87</v>
      </c>
      <c r="F19" s="12" t="s">
        <v>17</v>
      </c>
      <c r="G19" s="13" t="s">
        <v>88</v>
      </c>
      <c r="H19" s="12" t="s">
        <v>44</v>
      </c>
      <c r="I19" s="13" t="s">
        <v>89</v>
      </c>
      <c r="J19" s="12">
        <v>1</v>
      </c>
      <c r="K19" s="12">
        <f t="shared" si="1"/>
        <v>3</v>
      </c>
      <c r="L19" s="19" t="s">
        <v>21</v>
      </c>
      <c r="M19" s="18">
        <v>0.1</v>
      </c>
      <c r="N19" s="18">
        <f t="shared" si="3"/>
        <v>0.30000000000000004</v>
      </c>
      <c r="O19" s="12"/>
    </row>
    <row r="20" spans="1:15" ht="15.75" thickBot="1">
      <c r="A20" s="5"/>
      <c r="B20" s="10">
        <f t="shared" si="0"/>
        <v>18</v>
      </c>
      <c r="C20" s="14" t="s">
        <v>14</v>
      </c>
      <c r="D20" s="15" t="s">
        <v>90</v>
      </c>
      <c r="E20" s="16" t="s">
        <v>91</v>
      </c>
      <c r="F20" s="15" t="s">
        <v>92</v>
      </c>
      <c r="G20" s="16" t="s">
        <v>93</v>
      </c>
      <c r="H20" s="15" t="s">
        <v>81</v>
      </c>
      <c r="I20" s="16" t="s">
        <v>94</v>
      </c>
      <c r="J20" s="15">
        <v>2</v>
      </c>
      <c r="K20" s="12">
        <f t="shared" si="1"/>
        <v>6</v>
      </c>
      <c r="L20" s="19" t="s">
        <v>21</v>
      </c>
      <c r="M20" s="18">
        <v>0.69</v>
      </c>
      <c r="N20" s="18">
        <f t="shared" si="3"/>
        <v>4.1399999999999997</v>
      </c>
      <c r="O20" s="15"/>
    </row>
    <row r="21" spans="1:15" ht="15.75" thickBot="1">
      <c r="A21" s="5"/>
      <c r="B21" s="10">
        <f t="shared" si="0"/>
        <v>19</v>
      </c>
      <c r="C21" s="11" t="s">
        <v>14</v>
      </c>
      <c r="D21" s="12" t="s">
        <v>95</v>
      </c>
      <c r="E21" s="13" t="s">
        <v>96</v>
      </c>
      <c r="F21" s="12" t="s">
        <v>17</v>
      </c>
      <c r="G21" s="13" t="s">
        <v>97</v>
      </c>
      <c r="H21" s="12" t="s">
        <v>19</v>
      </c>
      <c r="I21" s="13" t="s">
        <v>98</v>
      </c>
      <c r="J21" s="12">
        <v>2</v>
      </c>
      <c r="K21" s="12">
        <f t="shared" si="1"/>
        <v>6</v>
      </c>
      <c r="L21" s="19" t="s">
        <v>21</v>
      </c>
      <c r="M21" s="18">
        <v>0.1</v>
      </c>
      <c r="N21" s="18">
        <f t="shared" si="3"/>
        <v>0.60000000000000009</v>
      </c>
      <c r="O21" s="12"/>
    </row>
    <row r="22" spans="1:15" ht="15.75" thickBot="1">
      <c r="A22" s="5"/>
      <c r="B22" s="10">
        <f t="shared" si="0"/>
        <v>20</v>
      </c>
      <c r="C22" s="14" t="s">
        <v>14</v>
      </c>
      <c r="D22" s="15" t="s">
        <v>99</v>
      </c>
      <c r="E22" s="16" t="s">
        <v>100</v>
      </c>
      <c r="F22" s="15" t="s">
        <v>17</v>
      </c>
      <c r="G22" s="16" t="s">
        <v>101</v>
      </c>
      <c r="H22" s="15" t="s">
        <v>19</v>
      </c>
      <c r="I22" s="16" t="s">
        <v>39</v>
      </c>
      <c r="J22" s="15">
        <v>1</v>
      </c>
      <c r="K22" s="12">
        <f t="shared" si="1"/>
        <v>3</v>
      </c>
      <c r="L22" s="19" t="s">
        <v>21</v>
      </c>
      <c r="M22" s="18">
        <v>0.26</v>
      </c>
      <c r="N22" s="18">
        <f t="shared" si="3"/>
        <v>0.78</v>
      </c>
      <c r="O22" s="15"/>
    </row>
    <row r="23" spans="1:15" ht="15.75" thickBot="1">
      <c r="A23" s="5"/>
      <c r="B23" s="10">
        <f t="shared" si="0"/>
        <v>21</v>
      </c>
      <c r="C23" s="11" t="s">
        <v>14</v>
      </c>
      <c r="D23" s="12" t="s">
        <v>102</v>
      </c>
      <c r="E23" s="13" t="s">
        <v>103</v>
      </c>
      <c r="F23" s="12" t="s">
        <v>17</v>
      </c>
      <c r="G23" s="13" t="s">
        <v>104</v>
      </c>
      <c r="H23" s="12" t="s">
        <v>19</v>
      </c>
      <c r="I23" s="13" t="s">
        <v>105</v>
      </c>
      <c r="J23" s="12">
        <v>2</v>
      </c>
      <c r="K23" s="12">
        <f t="shared" si="1"/>
        <v>6</v>
      </c>
      <c r="L23" s="19" t="s">
        <v>21</v>
      </c>
      <c r="M23" s="18">
        <v>0.11</v>
      </c>
      <c r="N23" s="18">
        <f t="shared" si="3"/>
        <v>0.66</v>
      </c>
      <c r="O23" s="12"/>
    </row>
    <row r="24" spans="1:15" ht="24.75" thickBot="1">
      <c r="A24" s="5"/>
      <c r="B24" s="10">
        <f t="shared" si="0"/>
        <v>22</v>
      </c>
      <c r="C24" s="14" t="s">
        <v>14</v>
      </c>
      <c r="D24" s="15" t="s">
        <v>106</v>
      </c>
      <c r="E24" s="16" t="s">
        <v>107</v>
      </c>
      <c r="F24" s="15" t="s">
        <v>37</v>
      </c>
      <c r="G24" s="16" t="s">
        <v>108</v>
      </c>
      <c r="H24" s="15" t="s">
        <v>53</v>
      </c>
      <c r="I24" s="16" t="s">
        <v>39</v>
      </c>
      <c r="J24" s="15">
        <v>10</v>
      </c>
      <c r="K24" s="12">
        <f t="shared" si="1"/>
        <v>30</v>
      </c>
      <c r="L24" s="19" t="s">
        <v>21</v>
      </c>
      <c r="M24" s="18">
        <v>0.27</v>
      </c>
      <c r="N24" s="18">
        <f t="shared" si="3"/>
        <v>8.1000000000000014</v>
      </c>
      <c r="O24" s="15"/>
    </row>
    <row r="25" spans="1:15" ht="36.75" thickBot="1">
      <c r="A25" s="5"/>
      <c r="B25" s="10">
        <f t="shared" si="0"/>
        <v>23</v>
      </c>
      <c r="C25" s="11" t="s">
        <v>14</v>
      </c>
      <c r="D25" s="12" t="s">
        <v>109</v>
      </c>
      <c r="E25" s="13" t="s">
        <v>110</v>
      </c>
      <c r="F25" s="12" t="s">
        <v>111</v>
      </c>
      <c r="G25" s="13" t="s">
        <v>112</v>
      </c>
      <c r="H25" s="12" t="s">
        <v>113</v>
      </c>
      <c r="I25" s="13" t="s">
        <v>94</v>
      </c>
      <c r="J25" s="12">
        <v>1</v>
      </c>
      <c r="K25" s="12">
        <f t="shared" si="1"/>
        <v>3</v>
      </c>
      <c r="L25" s="19" t="s">
        <v>114</v>
      </c>
      <c r="M25" s="18">
        <v>5.6800000000000003E-2</v>
      </c>
      <c r="N25" s="18">
        <f t="shared" si="3"/>
        <v>0.1704</v>
      </c>
      <c r="O25" s="12"/>
    </row>
    <row r="26" spans="1:15" ht="15.75" thickBot="1">
      <c r="A26" s="5"/>
      <c r="B26" s="10">
        <f t="shared" si="0"/>
        <v>24</v>
      </c>
      <c r="C26" s="14" t="s">
        <v>14</v>
      </c>
      <c r="D26" s="15" t="s">
        <v>115</v>
      </c>
      <c r="E26" s="16" t="s">
        <v>116</v>
      </c>
      <c r="F26" s="15" t="s">
        <v>17</v>
      </c>
      <c r="G26" s="16" t="s">
        <v>117</v>
      </c>
      <c r="H26" s="15" t="s">
        <v>19</v>
      </c>
      <c r="I26" s="16" t="s">
        <v>118</v>
      </c>
      <c r="J26" s="15">
        <v>7</v>
      </c>
      <c r="K26" s="12">
        <f t="shared" si="1"/>
        <v>21</v>
      </c>
      <c r="L26" s="19" t="s">
        <v>21</v>
      </c>
      <c r="M26" s="18">
        <v>8.2000000000000003E-2</v>
      </c>
      <c r="N26" s="18">
        <f t="shared" si="3"/>
        <v>1.722</v>
      </c>
      <c r="O26" s="15"/>
    </row>
    <row r="27" spans="1:15" ht="15.75" thickBot="1">
      <c r="A27" s="5"/>
      <c r="B27" s="10">
        <f t="shared" si="0"/>
        <v>25</v>
      </c>
      <c r="C27" s="11" t="s">
        <v>14</v>
      </c>
      <c r="D27" s="12" t="s">
        <v>119</v>
      </c>
      <c r="E27" s="13" t="s">
        <v>120</v>
      </c>
      <c r="F27" s="12" t="s">
        <v>17</v>
      </c>
      <c r="G27" s="13" t="s">
        <v>121</v>
      </c>
      <c r="H27" s="12" t="s">
        <v>44</v>
      </c>
      <c r="I27" s="13" t="s">
        <v>122</v>
      </c>
      <c r="J27" s="12">
        <v>4</v>
      </c>
      <c r="K27" s="12">
        <f t="shared" si="1"/>
        <v>12</v>
      </c>
      <c r="L27" s="19" t="s">
        <v>21</v>
      </c>
      <c r="M27" s="18">
        <v>0.129</v>
      </c>
      <c r="N27" s="18">
        <f t="shared" si="3"/>
        <v>1.548</v>
      </c>
      <c r="O27" s="12"/>
    </row>
    <row r="28" spans="1:15" ht="15.75" thickBot="1">
      <c r="A28" s="5"/>
      <c r="B28" s="10">
        <f t="shared" si="0"/>
        <v>26</v>
      </c>
      <c r="C28" s="14" t="s">
        <v>14</v>
      </c>
      <c r="D28" s="15" t="s">
        <v>123</v>
      </c>
      <c r="E28" s="16" t="s">
        <v>66</v>
      </c>
      <c r="F28" s="15" t="s">
        <v>17</v>
      </c>
      <c r="G28" s="16" t="s">
        <v>67</v>
      </c>
      <c r="H28" s="15" t="s">
        <v>19</v>
      </c>
      <c r="I28" s="16" t="s">
        <v>30</v>
      </c>
      <c r="J28" s="15">
        <v>7</v>
      </c>
      <c r="K28" s="12">
        <f t="shared" si="1"/>
        <v>21</v>
      </c>
      <c r="L28" s="19" t="s">
        <v>21</v>
      </c>
      <c r="M28" s="18">
        <v>2.1000000000000001E-2</v>
      </c>
      <c r="N28" s="18">
        <f t="shared" si="3"/>
        <v>0.441</v>
      </c>
      <c r="O28" s="15"/>
    </row>
    <row r="29" spans="1:15" ht="24.75" thickBot="1">
      <c r="A29" s="5"/>
      <c r="B29" s="10">
        <f t="shared" si="0"/>
        <v>27</v>
      </c>
      <c r="C29" s="11" t="s">
        <v>14</v>
      </c>
      <c r="D29" s="12" t="s">
        <v>124</v>
      </c>
      <c r="E29" s="13" t="s">
        <v>125</v>
      </c>
      <c r="F29" s="12" t="s">
        <v>17</v>
      </c>
      <c r="G29" s="13" t="s">
        <v>126</v>
      </c>
      <c r="H29" s="12" t="s">
        <v>127</v>
      </c>
      <c r="I29" s="13" t="s">
        <v>128</v>
      </c>
      <c r="J29" s="12">
        <v>2</v>
      </c>
      <c r="K29" s="12">
        <f t="shared" si="1"/>
        <v>6</v>
      </c>
      <c r="L29" s="19" t="s">
        <v>21</v>
      </c>
      <c r="M29" s="18">
        <v>0.1</v>
      </c>
      <c r="N29" s="18">
        <f t="shared" si="3"/>
        <v>0.60000000000000009</v>
      </c>
      <c r="O29" s="12"/>
    </row>
    <row r="30" spans="1:15" ht="15.75" thickBot="1">
      <c r="A30" s="5"/>
      <c r="B30" s="10">
        <f t="shared" si="0"/>
        <v>28</v>
      </c>
      <c r="C30" s="14" t="s">
        <v>14</v>
      </c>
      <c r="D30" s="15" t="s">
        <v>129</v>
      </c>
      <c r="E30" s="16" t="s">
        <v>130</v>
      </c>
      <c r="F30" s="15" t="s">
        <v>17</v>
      </c>
      <c r="G30" s="16" t="s">
        <v>131</v>
      </c>
      <c r="H30" s="15" t="s">
        <v>19</v>
      </c>
      <c r="I30" s="16" t="s">
        <v>132</v>
      </c>
      <c r="J30" s="15">
        <v>2</v>
      </c>
      <c r="K30" s="12">
        <f t="shared" si="1"/>
        <v>6</v>
      </c>
      <c r="L30" s="19" t="s">
        <v>21</v>
      </c>
      <c r="M30" s="18">
        <v>0.1</v>
      </c>
      <c r="N30" s="18">
        <f t="shared" ref="N30:N39" si="4">M30*K30</f>
        <v>0.60000000000000009</v>
      </c>
      <c r="O30" s="15"/>
    </row>
    <row r="31" spans="1:15" ht="15.75" thickBot="1">
      <c r="A31" s="5"/>
      <c r="B31" s="10">
        <f t="shared" si="0"/>
        <v>29</v>
      </c>
      <c r="C31" s="11" t="s">
        <v>14</v>
      </c>
      <c r="D31" s="12" t="s">
        <v>133</v>
      </c>
      <c r="E31" s="13" t="s">
        <v>134</v>
      </c>
      <c r="F31" s="12" t="s">
        <v>37</v>
      </c>
      <c r="G31" s="13" t="s">
        <v>135</v>
      </c>
      <c r="H31" s="12" t="s">
        <v>19</v>
      </c>
      <c r="I31" s="13" t="s">
        <v>136</v>
      </c>
      <c r="J31" s="12">
        <v>1</v>
      </c>
      <c r="K31" s="12">
        <f t="shared" si="1"/>
        <v>3</v>
      </c>
      <c r="L31" s="19" t="s">
        <v>21</v>
      </c>
      <c r="M31" s="18">
        <v>0.17</v>
      </c>
      <c r="N31" s="18">
        <f t="shared" si="4"/>
        <v>0.51</v>
      </c>
      <c r="O31" s="12"/>
    </row>
    <row r="32" spans="1:15" ht="15.75" thickBot="1">
      <c r="A32" s="5"/>
      <c r="B32" s="10">
        <f t="shared" si="0"/>
        <v>30</v>
      </c>
      <c r="C32" s="14" t="s">
        <v>14</v>
      </c>
      <c r="D32" s="15" t="s">
        <v>137</v>
      </c>
      <c r="E32" s="16" t="s">
        <v>138</v>
      </c>
      <c r="F32" s="15" t="s">
        <v>139</v>
      </c>
      <c r="G32" s="16" t="s">
        <v>140</v>
      </c>
      <c r="H32" s="15" t="s">
        <v>19</v>
      </c>
      <c r="I32" s="16" t="s">
        <v>68</v>
      </c>
      <c r="J32" s="15">
        <v>2</v>
      </c>
      <c r="K32" s="12">
        <f t="shared" si="1"/>
        <v>6</v>
      </c>
      <c r="L32" s="19" t="s">
        <v>21</v>
      </c>
      <c r="M32" s="18">
        <v>0.1</v>
      </c>
      <c r="N32" s="18">
        <f t="shared" si="4"/>
        <v>0.60000000000000009</v>
      </c>
      <c r="O32" s="15"/>
    </row>
    <row r="33" spans="1:15" ht="15.75" thickBot="1">
      <c r="A33" s="5"/>
      <c r="B33" s="10">
        <f t="shared" si="0"/>
        <v>31</v>
      </c>
      <c r="C33" s="11" t="s">
        <v>14</v>
      </c>
      <c r="D33" s="12" t="s">
        <v>141</v>
      </c>
      <c r="E33" s="13" t="s">
        <v>142</v>
      </c>
      <c r="F33" s="12" t="s">
        <v>37</v>
      </c>
      <c r="G33" s="13" t="s">
        <v>143</v>
      </c>
      <c r="H33" s="12" t="s">
        <v>19</v>
      </c>
      <c r="I33" s="13" t="s">
        <v>34</v>
      </c>
      <c r="J33" s="12">
        <v>1</v>
      </c>
      <c r="K33" s="12">
        <f t="shared" si="1"/>
        <v>3</v>
      </c>
      <c r="L33" s="19" t="s">
        <v>21</v>
      </c>
      <c r="M33" s="18">
        <v>0.1</v>
      </c>
      <c r="N33" s="18">
        <f t="shared" si="4"/>
        <v>0.30000000000000004</v>
      </c>
      <c r="O33" s="12"/>
    </row>
    <row r="34" spans="1:15" ht="48.75" thickBot="1">
      <c r="A34" s="5"/>
      <c r="B34" s="10">
        <f t="shared" si="0"/>
        <v>32</v>
      </c>
      <c r="C34" s="14" t="s">
        <v>144</v>
      </c>
      <c r="D34" s="15" t="s">
        <v>145</v>
      </c>
      <c r="E34" s="16" t="s">
        <v>146</v>
      </c>
      <c r="F34" s="15" t="s">
        <v>147</v>
      </c>
      <c r="G34" s="16" t="s">
        <v>148</v>
      </c>
      <c r="H34" s="15" t="s">
        <v>149</v>
      </c>
      <c r="I34" s="16" t="s">
        <v>150</v>
      </c>
      <c r="J34" s="15">
        <v>30</v>
      </c>
      <c r="K34" s="12">
        <f t="shared" si="1"/>
        <v>90</v>
      </c>
      <c r="L34" s="19" t="s">
        <v>114</v>
      </c>
      <c r="M34" s="18">
        <v>8.3000000000000001E-3</v>
      </c>
      <c r="N34" s="18">
        <f t="shared" si="4"/>
        <v>0.747</v>
      </c>
      <c r="O34" s="15"/>
    </row>
    <row r="35" spans="1:15" ht="24.75" thickBot="1">
      <c r="A35" s="5"/>
      <c r="B35" s="10">
        <f t="shared" ref="B35:B57" si="5">ROW(B35)-ROW($B$2)</f>
        <v>33</v>
      </c>
      <c r="C35" s="11" t="s">
        <v>144</v>
      </c>
      <c r="D35" s="12" t="s">
        <v>151</v>
      </c>
      <c r="E35" s="13" t="s">
        <v>152</v>
      </c>
      <c r="F35" s="12" t="s">
        <v>153</v>
      </c>
      <c r="G35" s="13" t="s">
        <v>154</v>
      </c>
      <c r="H35" s="12" t="s">
        <v>155</v>
      </c>
      <c r="I35" s="13" t="s">
        <v>150</v>
      </c>
      <c r="J35" s="12">
        <v>2</v>
      </c>
      <c r="K35" s="12">
        <f t="shared" si="1"/>
        <v>6</v>
      </c>
      <c r="L35" s="19" t="s">
        <v>114</v>
      </c>
      <c r="M35" s="18">
        <v>6.2600000000000003E-2</v>
      </c>
      <c r="N35" s="18">
        <f t="shared" si="4"/>
        <v>0.37560000000000004</v>
      </c>
      <c r="O35" s="12"/>
    </row>
    <row r="36" spans="1:15" ht="15.75" thickBot="1">
      <c r="A36" s="5"/>
      <c r="B36" s="10">
        <f t="shared" si="5"/>
        <v>34</v>
      </c>
      <c r="C36" s="14" t="s">
        <v>144</v>
      </c>
      <c r="D36" s="15" t="s">
        <v>156</v>
      </c>
      <c r="E36" s="16" t="s">
        <v>157</v>
      </c>
      <c r="F36" s="15" t="s">
        <v>158</v>
      </c>
      <c r="G36" s="16" t="s">
        <v>159</v>
      </c>
      <c r="H36" s="15" t="s">
        <v>160</v>
      </c>
      <c r="I36" s="16" t="s">
        <v>150</v>
      </c>
      <c r="J36" s="15">
        <v>1</v>
      </c>
      <c r="K36" s="12">
        <f t="shared" si="1"/>
        <v>3</v>
      </c>
      <c r="L36" s="19" t="s">
        <v>21</v>
      </c>
      <c r="M36" s="18">
        <v>0.37</v>
      </c>
      <c r="N36" s="18">
        <f t="shared" si="4"/>
        <v>1.1099999999999999</v>
      </c>
      <c r="O36" s="15"/>
    </row>
    <row r="37" spans="1:15" ht="24.75" thickBot="1">
      <c r="A37" s="5"/>
      <c r="B37" s="10">
        <f t="shared" si="5"/>
        <v>35</v>
      </c>
      <c r="C37" s="11" t="s">
        <v>144</v>
      </c>
      <c r="D37" s="12" t="s">
        <v>161</v>
      </c>
      <c r="E37" s="13" t="s">
        <v>162</v>
      </c>
      <c r="F37" s="12" t="s">
        <v>163</v>
      </c>
      <c r="G37" s="13" t="s">
        <v>164</v>
      </c>
      <c r="H37" s="12" t="s">
        <v>165</v>
      </c>
      <c r="I37" s="13" t="s">
        <v>150</v>
      </c>
      <c r="J37" s="12">
        <v>6</v>
      </c>
      <c r="K37" s="12">
        <f t="shared" si="1"/>
        <v>18</v>
      </c>
      <c r="L37" s="19" t="s">
        <v>21</v>
      </c>
      <c r="M37" s="18">
        <v>0.30499999999999999</v>
      </c>
      <c r="N37" s="18">
        <f t="shared" si="4"/>
        <v>5.49</v>
      </c>
      <c r="O37" s="12"/>
    </row>
    <row r="38" spans="1:15" ht="24.75" thickBot="1">
      <c r="A38" s="5"/>
      <c r="B38" s="10">
        <f t="shared" si="5"/>
        <v>36</v>
      </c>
      <c r="C38" s="14" t="s">
        <v>144</v>
      </c>
      <c r="D38" s="15" t="s">
        <v>166</v>
      </c>
      <c r="E38" s="16" t="s">
        <v>167</v>
      </c>
      <c r="F38" s="15" t="s">
        <v>168</v>
      </c>
      <c r="G38" s="16" t="s">
        <v>169</v>
      </c>
      <c r="H38" s="15" t="s">
        <v>170</v>
      </c>
      <c r="I38" s="16" t="s">
        <v>150</v>
      </c>
      <c r="J38" s="15">
        <v>1</v>
      </c>
      <c r="K38" s="12">
        <f t="shared" si="1"/>
        <v>3</v>
      </c>
      <c r="L38" s="19" t="s">
        <v>21</v>
      </c>
      <c r="M38" s="18">
        <v>0.21</v>
      </c>
      <c r="N38" s="18">
        <f t="shared" si="4"/>
        <v>0.63</v>
      </c>
      <c r="O38" s="15"/>
    </row>
    <row r="39" spans="1:15" ht="36.75" thickBot="1">
      <c r="A39" s="5"/>
      <c r="B39" s="10">
        <f t="shared" si="5"/>
        <v>37</v>
      </c>
      <c r="C39" s="11" t="s">
        <v>144</v>
      </c>
      <c r="D39" s="12" t="s">
        <v>171</v>
      </c>
      <c r="E39" s="13" t="s">
        <v>172</v>
      </c>
      <c r="F39" s="12" t="s">
        <v>173</v>
      </c>
      <c r="G39" s="13" t="s">
        <v>174</v>
      </c>
      <c r="H39" s="12" t="s">
        <v>149</v>
      </c>
      <c r="I39" s="13" t="s">
        <v>150</v>
      </c>
      <c r="J39" s="12">
        <v>21</v>
      </c>
      <c r="K39" s="12">
        <f t="shared" si="1"/>
        <v>63</v>
      </c>
      <c r="L39" s="19" t="s">
        <v>114</v>
      </c>
      <c r="M39" s="18">
        <v>1.9099999999999999E-2</v>
      </c>
      <c r="N39" s="18">
        <f t="shared" si="4"/>
        <v>1.2033</v>
      </c>
      <c r="O39" s="12"/>
    </row>
    <row r="40" spans="1:15" ht="24.75" thickBot="1">
      <c r="A40" s="5"/>
      <c r="B40" s="10">
        <f t="shared" si="5"/>
        <v>38</v>
      </c>
      <c r="C40" s="14" t="s">
        <v>144</v>
      </c>
      <c r="D40" s="15" t="s">
        <v>175</v>
      </c>
      <c r="E40" s="16" t="s">
        <v>176</v>
      </c>
      <c r="F40" s="15" t="s">
        <v>177</v>
      </c>
      <c r="G40" s="16" t="s">
        <v>178</v>
      </c>
      <c r="H40" s="15" t="s">
        <v>155</v>
      </c>
      <c r="I40" s="16" t="s">
        <v>150</v>
      </c>
      <c r="J40" s="15">
        <v>1</v>
      </c>
      <c r="K40" s="12">
        <f t="shared" si="1"/>
        <v>3</v>
      </c>
      <c r="L40" s="19" t="s">
        <v>114</v>
      </c>
      <c r="M40" s="18">
        <v>7.9399999999999998E-2</v>
      </c>
      <c r="N40" s="18">
        <f t="shared" ref="N40:N55" si="6">M40*K40</f>
        <v>0.2382</v>
      </c>
      <c r="O40" s="15"/>
    </row>
    <row r="41" spans="1:15" ht="36.75" thickBot="1">
      <c r="A41" s="5"/>
      <c r="B41" s="10">
        <f t="shared" si="5"/>
        <v>39</v>
      </c>
      <c r="C41" s="11" t="s">
        <v>144</v>
      </c>
      <c r="D41" s="12" t="s">
        <v>179</v>
      </c>
      <c r="E41" s="13" t="s">
        <v>180</v>
      </c>
      <c r="F41" s="12" t="s">
        <v>173</v>
      </c>
      <c r="G41" s="13" t="s">
        <v>181</v>
      </c>
      <c r="H41" s="12" t="s">
        <v>182</v>
      </c>
      <c r="I41" s="13" t="s">
        <v>150</v>
      </c>
      <c r="J41" s="12">
        <v>2</v>
      </c>
      <c r="K41" s="12">
        <f t="shared" si="1"/>
        <v>6</v>
      </c>
      <c r="L41" s="19" t="s">
        <v>114</v>
      </c>
      <c r="M41" s="18">
        <v>2.9100000000000001E-2</v>
      </c>
      <c r="N41" s="18">
        <f t="shared" si="6"/>
        <v>0.17460000000000001</v>
      </c>
      <c r="O41" s="12"/>
    </row>
    <row r="42" spans="1:15" ht="15.75" thickBot="1">
      <c r="A42" s="5"/>
      <c r="B42" s="10">
        <f t="shared" si="5"/>
        <v>40</v>
      </c>
      <c r="C42" s="14" t="s">
        <v>183</v>
      </c>
      <c r="D42" s="15" t="s">
        <v>184</v>
      </c>
      <c r="E42" s="16" t="s">
        <v>185</v>
      </c>
      <c r="F42" s="15" t="s">
        <v>186</v>
      </c>
      <c r="G42" s="16" t="s">
        <v>187</v>
      </c>
      <c r="H42" s="15" t="s">
        <v>160</v>
      </c>
      <c r="I42" s="16" t="s">
        <v>150</v>
      </c>
      <c r="J42" s="15">
        <v>2</v>
      </c>
      <c r="K42" s="12">
        <f t="shared" si="1"/>
        <v>6</v>
      </c>
      <c r="L42" s="19" t="s">
        <v>21</v>
      </c>
      <c r="M42" s="18">
        <v>0.34</v>
      </c>
      <c r="N42" s="18">
        <f t="shared" si="6"/>
        <v>2.04</v>
      </c>
      <c r="O42" s="15"/>
    </row>
    <row r="43" spans="1:15" ht="15.75" thickBot="1">
      <c r="A43" s="5"/>
      <c r="B43" s="10">
        <f t="shared" si="5"/>
        <v>41</v>
      </c>
      <c r="C43" s="11" t="s">
        <v>188</v>
      </c>
      <c r="D43" s="12" t="s">
        <v>189</v>
      </c>
      <c r="E43" s="13" t="s">
        <v>190</v>
      </c>
      <c r="F43" s="12" t="s">
        <v>191</v>
      </c>
      <c r="G43" s="13" t="s">
        <v>192</v>
      </c>
      <c r="H43" s="12" t="s">
        <v>193</v>
      </c>
      <c r="I43" s="13" t="s">
        <v>150</v>
      </c>
      <c r="J43" s="12">
        <v>1</v>
      </c>
      <c r="K43" s="12">
        <f t="shared" si="1"/>
        <v>3</v>
      </c>
      <c r="L43" s="19" t="s">
        <v>21</v>
      </c>
      <c r="M43" s="18">
        <v>1.66</v>
      </c>
      <c r="N43" s="18">
        <f t="shared" si="6"/>
        <v>4.9799999999999995</v>
      </c>
      <c r="O43" s="12"/>
    </row>
    <row r="44" spans="1:15" ht="24.75" thickBot="1">
      <c r="A44" s="5"/>
      <c r="B44" s="10">
        <f t="shared" si="5"/>
        <v>42</v>
      </c>
      <c r="C44" s="14" t="s">
        <v>188</v>
      </c>
      <c r="D44" s="15" t="s">
        <v>194</v>
      </c>
      <c r="E44" s="16" t="s">
        <v>195</v>
      </c>
      <c r="F44" s="15" t="s">
        <v>196</v>
      </c>
      <c r="G44" s="16" t="s">
        <v>197</v>
      </c>
      <c r="H44" s="15" t="s">
        <v>198</v>
      </c>
      <c r="I44" s="16" t="s">
        <v>150</v>
      </c>
      <c r="J44" s="15">
        <v>1</v>
      </c>
      <c r="K44" s="12">
        <f t="shared" si="1"/>
        <v>3</v>
      </c>
      <c r="L44" s="19" t="s">
        <v>114</v>
      </c>
      <c r="M44" s="18">
        <v>3.9399999999999998E-2</v>
      </c>
      <c r="N44" s="18">
        <f t="shared" si="6"/>
        <v>0.1182</v>
      </c>
      <c r="O44" s="15"/>
    </row>
    <row r="45" spans="1:15" ht="15.75" thickBot="1">
      <c r="A45" s="5"/>
      <c r="B45" s="10">
        <f t="shared" si="5"/>
        <v>43</v>
      </c>
      <c r="C45" s="11" t="s">
        <v>199</v>
      </c>
      <c r="D45" s="12" t="s">
        <v>200</v>
      </c>
      <c r="E45" s="13" t="s">
        <v>201</v>
      </c>
      <c r="F45" s="12" t="s">
        <v>202</v>
      </c>
      <c r="G45" s="13" t="s">
        <v>203</v>
      </c>
      <c r="H45" s="12" t="s">
        <v>44</v>
      </c>
      <c r="I45" s="13" t="s">
        <v>150</v>
      </c>
      <c r="J45" s="12">
        <v>1</v>
      </c>
      <c r="K45" s="12">
        <f t="shared" si="1"/>
        <v>3</v>
      </c>
      <c r="L45" s="19" t="s">
        <v>21</v>
      </c>
      <c r="M45" s="18">
        <v>0.12</v>
      </c>
      <c r="N45" s="18">
        <f t="shared" si="6"/>
        <v>0.36</v>
      </c>
      <c r="O45" s="12"/>
    </row>
    <row r="46" spans="1:15" ht="15.75" thickBot="1">
      <c r="A46" s="5"/>
      <c r="B46" s="10">
        <f t="shared" si="5"/>
        <v>44</v>
      </c>
      <c r="C46" s="14" t="s">
        <v>199</v>
      </c>
      <c r="D46" s="15" t="s">
        <v>204</v>
      </c>
      <c r="E46" s="16" t="s">
        <v>205</v>
      </c>
      <c r="F46" s="15" t="s">
        <v>206</v>
      </c>
      <c r="G46" s="16" t="s">
        <v>207</v>
      </c>
      <c r="H46" s="15" t="s">
        <v>44</v>
      </c>
      <c r="I46" s="16" t="s">
        <v>150</v>
      </c>
      <c r="J46" s="15">
        <v>1</v>
      </c>
      <c r="K46" s="12">
        <f t="shared" si="1"/>
        <v>3</v>
      </c>
      <c r="L46" s="19" t="s">
        <v>21</v>
      </c>
      <c r="M46" s="18">
        <v>0.1</v>
      </c>
      <c r="N46" s="18">
        <f t="shared" si="6"/>
        <v>0.30000000000000004</v>
      </c>
      <c r="O46" s="15"/>
    </row>
    <row r="47" spans="1:15" ht="15.75" thickBot="1">
      <c r="A47" s="5"/>
      <c r="B47" s="10">
        <f t="shared" si="5"/>
        <v>45</v>
      </c>
      <c r="C47" s="11" t="s">
        <v>199</v>
      </c>
      <c r="D47" s="12" t="s">
        <v>208</v>
      </c>
      <c r="E47" s="13" t="s">
        <v>209</v>
      </c>
      <c r="F47" s="12" t="s">
        <v>210</v>
      </c>
      <c r="G47" s="13" t="s">
        <v>211</v>
      </c>
      <c r="H47" s="12" t="s">
        <v>44</v>
      </c>
      <c r="I47" s="13" t="s">
        <v>150</v>
      </c>
      <c r="J47" s="12">
        <v>2</v>
      </c>
      <c r="K47" s="12">
        <f t="shared" si="1"/>
        <v>6</v>
      </c>
      <c r="L47" s="19" t="s">
        <v>21</v>
      </c>
      <c r="M47" s="18">
        <v>0.32</v>
      </c>
      <c r="N47" s="18">
        <f t="shared" si="6"/>
        <v>1.92</v>
      </c>
      <c r="O47" s="12"/>
    </row>
    <row r="48" spans="1:15" ht="36.75" thickBot="1">
      <c r="A48" s="5"/>
      <c r="B48" s="10">
        <f t="shared" si="5"/>
        <v>46</v>
      </c>
      <c r="C48" s="11" t="s">
        <v>212</v>
      </c>
      <c r="D48" s="12" t="s">
        <v>213</v>
      </c>
      <c r="E48" s="13" t="s">
        <v>214</v>
      </c>
      <c r="F48" s="12" t="s">
        <v>111</v>
      </c>
      <c r="G48" s="13" t="s">
        <v>215</v>
      </c>
      <c r="H48" s="12" t="s">
        <v>216</v>
      </c>
      <c r="I48" s="13" t="s">
        <v>150</v>
      </c>
      <c r="J48" s="12">
        <v>1</v>
      </c>
      <c r="K48" s="12">
        <f t="shared" si="1"/>
        <v>3</v>
      </c>
      <c r="L48" s="19" t="s">
        <v>114</v>
      </c>
      <c r="M48" s="18">
        <v>7.4099999999999999E-2</v>
      </c>
      <c r="N48" s="18">
        <f t="shared" si="6"/>
        <v>0.2223</v>
      </c>
      <c r="O48" s="12"/>
    </row>
    <row r="49" spans="1:15" ht="24.75" thickBot="1">
      <c r="A49" s="5"/>
      <c r="B49" s="10">
        <f t="shared" si="5"/>
        <v>47</v>
      </c>
      <c r="C49" s="14" t="s">
        <v>217</v>
      </c>
      <c r="D49" s="15" t="s">
        <v>218</v>
      </c>
      <c r="E49" s="16" t="s">
        <v>219</v>
      </c>
      <c r="F49" s="12" t="s">
        <v>111</v>
      </c>
      <c r="G49" s="16" t="s">
        <v>220</v>
      </c>
      <c r="H49" s="15" t="s">
        <v>221</v>
      </c>
      <c r="I49" s="16" t="s">
        <v>150</v>
      </c>
      <c r="J49" s="15">
        <v>1</v>
      </c>
      <c r="K49" s="12">
        <f t="shared" si="1"/>
        <v>3</v>
      </c>
      <c r="L49" s="19" t="s">
        <v>114</v>
      </c>
      <c r="M49" s="18">
        <v>4.2946</v>
      </c>
      <c r="N49" s="18">
        <f t="shared" si="6"/>
        <v>12.883800000000001</v>
      </c>
      <c r="O49" s="15"/>
    </row>
    <row r="50" spans="1:15" ht="24.75" thickBot="1">
      <c r="A50" s="5"/>
      <c r="B50" s="10">
        <f t="shared" si="5"/>
        <v>48</v>
      </c>
      <c r="C50" s="11" t="s">
        <v>222</v>
      </c>
      <c r="D50" s="12" t="s">
        <v>223</v>
      </c>
      <c r="E50" s="13" t="s">
        <v>224</v>
      </c>
      <c r="F50" s="12" t="s">
        <v>111</v>
      </c>
      <c r="G50" s="13" t="s">
        <v>225</v>
      </c>
      <c r="H50" s="12" t="s">
        <v>226</v>
      </c>
      <c r="I50" s="13" t="s">
        <v>150</v>
      </c>
      <c r="J50" s="12">
        <v>1</v>
      </c>
      <c r="K50" s="12">
        <f t="shared" si="1"/>
        <v>3</v>
      </c>
      <c r="L50" s="17" t="s">
        <v>21</v>
      </c>
      <c r="M50" s="18">
        <v>1.26</v>
      </c>
      <c r="N50" s="18">
        <f t="shared" si="6"/>
        <v>3.7800000000000002</v>
      </c>
      <c r="O50" s="12"/>
    </row>
    <row r="51" spans="1:15" ht="36.75" thickBot="1">
      <c r="A51" s="5"/>
      <c r="B51" s="10">
        <f t="shared" si="5"/>
        <v>49</v>
      </c>
      <c r="C51" s="14" t="s">
        <v>227</v>
      </c>
      <c r="D51" s="15" t="s">
        <v>228</v>
      </c>
      <c r="E51" s="16" t="s">
        <v>229</v>
      </c>
      <c r="F51" s="12" t="s">
        <v>111</v>
      </c>
      <c r="G51" s="16" t="s">
        <v>230</v>
      </c>
      <c r="H51" s="15" t="s">
        <v>231</v>
      </c>
      <c r="I51" s="16" t="s">
        <v>150</v>
      </c>
      <c r="J51" s="15">
        <v>1</v>
      </c>
      <c r="K51" s="12">
        <f t="shared" si="1"/>
        <v>3</v>
      </c>
      <c r="L51" s="19" t="s">
        <v>114</v>
      </c>
      <c r="M51" s="18">
        <v>1.52E-2</v>
      </c>
      <c r="N51" s="18">
        <f t="shared" si="6"/>
        <v>4.5600000000000002E-2</v>
      </c>
      <c r="O51" s="15"/>
    </row>
    <row r="52" spans="1:15" ht="36.75" thickBot="1">
      <c r="A52" s="5"/>
      <c r="B52" s="10">
        <f t="shared" si="5"/>
        <v>50</v>
      </c>
      <c r="C52" s="11" t="s">
        <v>227</v>
      </c>
      <c r="D52" s="12" t="s">
        <v>232</v>
      </c>
      <c r="E52" s="13" t="s">
        <v>229</v>
      </c>
      <c r="F52" s="12" t="s">
        <v>111</v>
      </c>
      <c r="G52" s="13" t="s">
        <v>233</v>
      </c>
      <c r="H52" s="12" t="s">
        <v>231</v>
      </c>
      <c r="I52" s="16" t="s">
        <v>150</v>
      </c>
      <c r="J52" s="12">
        <v>1</v>
      </c>
      <c r="K52" s="12">
        <f t="shared" si="1"/>
        <v>3</v>
      </c>
      <c r="L52" s="19" t="s">
        <v>114</v>
      </c>
      <c r="M52" s="18">
        <v>1.9199999999999998E-2</v>
      </c>
      <c r="N52" s="18">
        <f t="shared" si="6"/>
        <v>5.7599999999999998E-2</v>
      </c>
      <c r="O52" s="12"/>
    </row>
    <row r="53" spans="1:15" ht="48.75" thickBot="1">
      <c r="A53" s="5"/>
      <c r="B53" s="10">
        <f t="shared" si="5"/>
        <v>51</v>
      </c>
      <c r="C53" s="14" t="s">
        <v>234</v>
      </c>
      <c r="D53" s="15" t="s">
        <v>235</v>
      </c>
      <c r="E53" s="16" t="s">
        <v>236</v>
      </c>
      <c r="F53" s="12" t="s">
        <v>111</v>
      </c>
      <c r="G53" s="16" t="s">
        <v>237</v>
      </c>
      <c r="H53" s="15" t="s">
        <v>238</v>
      </c>
      <c r="I53" s="16" t="s">
        <v>150</v>
      </c>
      <c r="J53" s="15">
        <v>1</v>
      </c>
      <c r="K53" s="12">
        <f t="shared" si="1"/>
        <v>3</v>
      </c>
      <c r="L53" s="19" t="s">
        <v>114</v>
      </c>
      <c r="M53" s="18">
        <v>0.1726</v>
      </c>
      <c r="N53" s="18">
        <f t="shared" si="6"/>
        <v>0.51780000000000004</v>
      </c>
      <c r="O53" s="15"/>
    </row>
    <row r="54" spans="1:15" ht="24.75" thickBot="1">
      <c r="A54" s="5"/>
      <c r="B54" s="10">
        <f t="shared" si="5"/>
        <v>52</v>
      </c>
      <c r="C54" s="11" t="s">
        <v>239</v>
      </c>
      <c r="D54" s="12" t="s">
        <v>240</v>
      </c>
      <c r="E54" s="13" t="s">
        <v>241</v>
      </c>
      <c r="F54" s="12" t="s">
        <v>111</v>
      </c>
      <c r="G54" s="13" t="s">
        <v>242</v>
      </c>
      <c r="H54" s="12" t="s">
        <v>221</v>
      </c>
      <c r="I54" s="16" t="s">
        <v>150</v>
      </c>
      <c r="J54" s="12">
        <v>1</v>
      </c>
      <c r="K54" s="12">
        <f t="shared" si="1"/>
        <v>3</v>
      </c>
      <c r="L54" s="19" t="s">
        <v>114</v>
      </c>
      <c r="M54" s="18">
        <v>0.70579999999999998</v>
      </c>
      <c r="N54" s="18">
        <f t="shared" si="6"/>
        <v>2.1173999999999999</v>
      </c>
      <c r="O54" s="12"/>
    </row>
    <row r="55" spans="1:15" ht="48.75" thickBot="1">
      <c r="A55" s="5"/>
      <c r="B55" s="10">
        <f t="shared" si="5"/>
        <v>53</v>
      </c>
      <c r="C55" s="14" t="s">
        <v>243</v>
      </c>
      <c r="D55" s="15" t="s">
        <v>244</v>
      </c>
      <c r="E55" s="16" t="s">
        <v>245</v>
      </c>
      <c r="F55" s="12" t="s">
        <v>111</v>
      </c>
      <c r="G55" s="16" t="s">
        <v>246</v>
      </c>
      <c r="H55" s="15" t="s">
        <v>247</v>
      </c>
      <c r="I55" s="16" t="s">
        <v>150</v>
      </c>
      <c r="J55" s="15">
        <v>1</v>
      </c>
      <c r="K55" s="12">
        <f t="shared" si="1"/>
        <v>3</v>
      </c>
      <c r="L55" s="19" t="s">
        <v>114</v>
      </c>
      <c r="M55" s="18">
        <v>0.42970000000000003</v>
      </c>
      <c r="N55" s="18">
        <f t="shared" si="6"/>
        <v>1.2891000000000001</v>
      </c>
      <c r="O55" s="15"/>
    </row>
    <row r="56" spans="1:15" ht="36.75" thickBot="1">
      <c r="A56" s="5"/>
      <c r="B56" s="10">
        <f t="shared" si="5"/>
        <v>54</v>
      </c>
      <c r="C56" s="14" t="s">
        <v>706</v>
      </c>
      <c r="D56" s="15" t="s">
        <v>248</v>
      </c>
      <c r="E56" s="15" t="s">
        <v>707</v>
      </c>
      <c r="F56" s="15" t="s">
        <v>111</v>
      </c>
      <c r="G56" s="15" t="s">
        <v>704</v>
      </c>
      <c r="H56" s="15" t="s">
        <v>708</v>
      </c>
      <c r="I56" s="16" t="s">
        <v>150</v>
      </c>
      <c r="J56" s="12">
        <v>1</v>
      </c>
      <c r="K56" s="12">
        <f t="shared" si="1"/>
        <v>3</v>
      </c>
      <c r="L56" s="19" t="s">
        <v>114</v>
      </c>
      <c r="M56" s="18">
        <v>0.80400000000000005</v>
      </c>
      <c r="N56" s="18">
        <f t="shared" ref="N56:N119" si="7">M56*K56</f>
        <v>2.4119999999999999</v>
      </c>
      <c r="O56" s="12"/>
    </row>
    <row r="57" spans="1:15" ht="48.75" thickBot="1">
      <c r="A57" s="5"/>
      <c r="B57" s="10">
        <f t="shared" si="5"/>
        <v>55</v>
      </c>
      <c r="C57" s="11" t="s">
        <v>250</v>
      </c>
      <c r="D57" s="12" t="s">
        <v>251</v>
      </c>
      <c r="E57" s="13" t="s">
        <v>252</v>
      </c>
      <c r="F57" s="12" t="s">
        <v>111</v>
      </c>
      <c r="G57" s="13" t="s">
        <v>253</v>
      </c>
      <c r="H57" s="12" t="s">
        <v>254</v>
      </c>
      <c r="I57" s="16" t="s">
        <v>150</v>
      </c>
      <c r="J57" s="12">
        <v>2</v>
      </c>
      <c r="K57" s="12">
        <f t="shared" si="1"/>
        <v>6</v>
      </c>
      <c r="L57" s="19" t="s">
        <v>114</v>
      </c>
      <c r="M57" s="18">
        <v>0.55000000000000004</v>
      </c>
      <c r="N57" s="18">
        <f t="shared" si="7"/>
        <v>3.3000000000000003</v>
      </c>
      <c r="O57" s="12"/>
    </row>
    <row r="58" spans="1:15" ht="60.75" thickBot="1">
      <c r="A58" s="5"/>
      <c r="B58" s="10">
        <f t="shared" ref="B58:B158" si="8">ROW(B58)-ROW($B$2)</f>
        <v>56</v>
      </c>
      <c r="C58" s="14" t="s">
        <v>255</v>
      </c>
      <c r="D58" s="15" t="s">
        <v>256</v>
      </c>
      <c r="E58" s="16" t="s">
        <v>257</v>
      </c>
      <c r="F58" s="12" t="s">
        <v>111</v>
      </c>
      <c r="G58" s="16" t="s">
        <v>258</v>
      </c>
      <c r="H58" s="15" t="s">
        <v>259</v>
      </c>
      <c r="I58" s="16" t="s">
        <v>150</v>
      </c>
      <c r="J58" s="15">
        <v>5</v>
      </c>
      <c r="K58" s="12">
        <f t="shared" si="1"/>
        <v>15</v>
      </c>
      <c r="L58" s="19" t="s">
        <v>114</v>
      </c>
      <c r="M58" s="18">
        <v>9.8699999999999996E-2</v>
      </c>
      <c r="N58" s="18">
        <f t="shared" si="7"/>
        <v>1.4804999999999999</v>
      </c>
      <c r="O58" s="15"/>
    </row>
    <row r="59" spans="1:15" ht="60.75" thickBot="1">
      <c r="A59" s="5"/>
      <c r="B59" s="10">
        <f t="shared" si="8"/>
        <v>57</v>
      </c>
      <c r="C59" s="11" t="s">
        <v>260</v>
      </c>
      <c r="D59" s="12" t="s">
        <v>261</v>
      </c>
      <c r="E59" s="13" t="s">
        <v>262</v>
      </c>
      <c r="F59" s="12" t="s">
        <v>111</v>
      </c>
      <c r="G59" s="13" t="s">
        <v>263</v>
      </c>
      <c r="H59" s="12" t="s">
        <v>231</v>
      </c>
      <c r="I59" s="16" t="s">
        <v>150</v>
      </c>
      <c r="J59" s="12">
        <v>1</v>
      </c>
      <c r="K59" s="12">
        <f t="shared" si="1"/>
        <v>3</v>
      </c>
      <c r="L59" s="19" t="s">
        <v>114</v>
      </c>
      <c r="M59" s="18">
        <v>0.18920000000000001</v>
      </c>
      <c r="N59" s="18">
        <f t="shared" si="7"/>
        <v>0.56759999999999999</v>
      </c>
      <c r="O59" s="12"/>
    </row>
    <row r="60" spans="1:15" ht="15.75" thickBot="1">
      <c r="A60" s="5"/>
      <c r="B60" s="10">
        <f t="shared" si="8"/>
        <v>58</v>
      </c>
      <c r="C60" s="14" t="s">
        <v>264</v>
      </c>
      <c r="D60" s="15" t="s">
        <v>265</v>
      </c>
      <c r="E60" s="16" t="s">
        <v>266</v>
      </c>
      <c r="F60" s="12" t="s">
        <v>111</v>
      </c>
      <c r="G60" s="16" t="s">
        <v>267</v>
      </c>
      <c r="H60" s="15" t="s">
        <v>268</v>
      </c>
      <c r="I60" s="16" t="s">
        <v>150</v>
      </c>
      <c r="J60" s="15">
        <v>1</v>
      </c>
      <c r="K60" s="12">
        <f t="shared" si="1"/>
        <v>3</v>
      </c>
      <c r="L60" s="19" t="s">
        <v>21</v>
      </c>
      <c r="M60" s="18">
        <v>1.32</v>
      </c>
      <c r="N60" s="18">
        <f t="shared" si="7"/>
        <v>3.96</v>
      </c>
      <c r="O60" s="15"/>
    </row>
    <row r="61" spans="1:15" ht="15.75" thickBot="1">
      <c r="A61" s="5"/>
      <c r="B61" s="10">
        <f t="shared" si="8"/>
        <v>59</v>
      </c>
      <c r="C61" s="11" t="s">
        <v>269</v>
      </c>
      <c r="D61" s="12" t="s">
        <v>270</v>
      </c>
      <c r="E61" s="13" t="s">
        <v>271</v>
      </c>
      <c r="F61" s="12" t="s">
        <v>111</v>
      </c>
      <c r="G61" s="13" t="s">
        <v>272</v>
      </c>
      <c r="H61" s="12" t="s">
        <v>273</v>
      </c>
      <c r="I61" s="16" t="s">
        <v>150</v>
      </c>
      <c r="J61" s="12">
        <v>1</v>
      </c>
      <c r="K61" s="12">
        <f t="shared" si="1"/>
        <v>3</v>
      </c>
      <c r="L61" s="19" t="s">
        <v>21</v>
      </c>
      <c r="M61" s="18">
        <v>0.46</v>
      </c>
      <c r="N61" s="18">
        <f t="shared" si="7"/>
        <v>1.3800000000000001</v>
      </c>
      <c r="O61" s="12"/>
    </row>
    <row r="62" spans="1:15" ht="36.75" thickBot="1">
      <c r="A62" s="5"/>
      <c r="B62" s="10">
        <f t="shared" si="8"/>
        <v>60</v>
      </c>
      <c r="C62" s="14" t="s">
        <v>227</v>
      </c>
      <c r="D62" s="15" t="s">
        <v>274</v>
      </c>
      <c r="E62" s="16" t="s">
        <v>275</v>
      </c>
      <c r="F62" s="12" t="s">
        <v>111</v>
      </c>
      <c r="G62" s="16" t="s">
        <v>276</v>
      </c>
      <c r="H62" s="15" t="s">
        <v>231</v>
      </c>
      <c r="I62" s="16" t="s">
        <v>150</v>
      </c>
      <c r="J62" s="15">
        <v>1</v>
      </c>
      <c r="K62" s="12">
        <f t="shared" si="1"/>
        <v>3</v>
      </c>
      <c r="L62" s="19" t="s">
        <v>114</v>
      </c>
      <c r="M62" s="18">
        <v>1.2999999999999999E-2</v>
      </c>
      <c r="N62" s="18">
        <f t="shared" si="7"/>
        <v>3.9E-2</v>
      </c>
      <c r="O62" s="15"/>
    </row>
    <row r="63" spans="1:15" ht="60.75" thickBot="1">
      <c r="A63" s="5"/>
      <c r="B63" s="10">
        <f t="shared" si="8"/>
        <v>61</v>
      </c>
      <c r="C63" s="11" t="s">
        <v>277</v>
      </c>
      <c r="D63" s="12" t="s">
        <v>278</v>
      </c>
      <c r="E63" s="13" t="s">
        <v>279</v>
      </c>
      <c r="F63" s="12" t="s">
        <v>111</v>
      </c>
      <c r="G63" s="13" t="s">
        <v>280</v>
      </c>
      <c r="H63" s="12" t="s">
        <v>281</v>
      </c>
      <c r="I63" s="16" t="s">
        <v>150</v>
      </c>
      <c r="J63" s="12">
        <v>2</v>
      </c>
      <c r="K63" s="12">
        <f t="shared" si="1"/>
        <v>6</v>
      </c>
      <c r="L63" s="19" t="s">
        <v>114</v>
      </c>
      <c r="M63" s="18">
        <v>2.5537999999999998</v>
      </c>
      <c r="N63" s="18">
        <f t="shared" si="7"/>
        <v>15.322799999999999</v>
      </c>
      <c r="O63" s="12"/>
    </row>
    <row r="64" spans="1:15" ht="48.75" thickBot="1">
      <c r="A64" s="5"/>
      <c r="B64" s="10">
        <f t="shared" si="8"/>
        <v>62</v>
      </c>
      <c r="C64" s="14" t="s">
        <v>282</v>
      </c>
      <c r="D64" s="15" t="s">
        <v>283</v>
      </c>
      <c r="E64" s="16" t="s">
        <v>284</v>
      </c>
      <c r="F64" s="12" t="s">
        <v>111</v>
      </c>
      <c r="G64" s="16" t="s">
        <v>285</v>
      </c>
      <c r="H64" s="15" t="s">
        <v>231</v>
      </c>
      <c r="I64" s="16" t="s">
        <v>150</v>
      </c>
      <c r="J64" s="15">
        <v>1</v>
      </c>
      <c r="K64" s="12">
        <f t="shared" si="1"/>
        <v>3</v>
      </c>
      <c r="L64" s="19" t="s">
        <v>114</v>
      </c>
      <c r="M64" s="18">
        <v>1.52E-2</v>
      </c>
      <c r="N64" s="18">
        <f t="shared" si="7"/>
        <v>4.5600000000000002E-2</v>
      </c>
      <c r="O64" s="15"/>
    </row>
    <row r="65" spans="1:15" ht="36.75" thickBot="1">
      <c r="A65" s="5"/>
      <c r="B65" s="10">
        <f t="shared" si="8"/>
        <v>63</v>
      </c>
      <c r="C65" s="11" t="s">
        <v>227</v>
      </c>
      <c r="D65" s="12" t="s">
        <v>286</v>
      </c>
      <c r="E65" s="13" t="s">
        <v>275</v>
      </c>
      <c r="F65" s="12" t="s">
        <v>111</v>
      </c>
      <c r="G65" s="13" t="s">
        <v>287</v>
      </c>
      <c r="H65" s="12" t="s">
        <v>231</v>
      </c>
      <c r="I65" s="16" t="s">
        <v>150</v>
      </c>
      <c r="J65" s="12">
        <v>1</v>
      </c>
      <c r="K65" s="12">
        <f t="shared" si="1"/>
        <v>3</v>
      </c>
      <c r="L65" s="19" t="s">
        <v>114</v>
      </c>
      <c r="M65" s="18">
        <v>1.67E-2</v>
      </c>
      <c r="N65" s="18">
        <f t="shared" si="7"/>
        <v>5.0099999999999999E-2</v>
      </c>
      <c r="O65" s="12"/>
    </row>
    <row r="66" spans="1:15" ht="24.75" thickBot="1">
      <c r="A66" s="5"/>
      <c r="B66" s="10">
        <f t="shared" si="8"/>
        <v>64</v>
      </c>
      <c r="C66" s="14" t="s">
        <v>288</v>
      </c>
      <c r="D66" s="15" t="s">
        <v>289</v>
      </c>
      <c r="E66" s="16" t="s">
        <v>290</v>
      </c>
      <c r="F66" s="12" t="s">
        <v>111</v>
      </c>
      <c r="G66" s="16" t="s">
        <v>291</v>
      </c>
      <c r="H66" s="15" t="s">
        <v>247</v>
      </c>
      <c r="I66" s="16" t="s">
        <v>150</v>
      </c>
      <c r="J66" s="15">
        <v>1</v>
      </c>
      <c r="K66" s="12">
        <f t="shared" si="1"/>
        <v>3</v>
      </c>
      <c r="L66" s="19" t="s">
        <v>114</v>
      </c>
      <c r="M66" s="18">
        <v>0.33900000000000002</v>
      </c>
      <c r="N66" s="18">
        <f t="shared" si="7"/>
        <v>1.0170000000000001</v>
      </c>
      <c r="O66" s="15"/>
    </row>
    <row r="67" spans="1:15" ht="15.75" thickBot="1">
      <c r="A67" s="5"/>
      <c r="B67" s="10">
        <f t="shared" si="8"/>
        <v>65</v>
      </c>
      <c r="C67" s="11" t="s">
        <v>292</v>
      </c>
      <c r="D67" s="12" t="s">
        <v>293</v>
      </c>
      <c r="E67" s="13" t="s">
        <v>294</v>
      </c>
      <c r="F67" s="12" t="s">
        <v>111</v>
      </c>
      <c r="G67" s="13" t="s">
        <v>295</v>
      </c>
      <c r="H67" s="12" t="s">
        <v>268</v>
      </c>
      <c r="I67" s="16" t="s">
        <v>150</v>
      </c>
      <c r="J67" s="12">
        <v>1</v>
      </c>
      <c r="K67" s="12">
        <f t="shared" si="1"/>
        <v>3</v>
      </c>
      <c r="L67" s="19" t="s">
        <v>21</v>
      </c>
      <c r="M67" s="18">
        <v>2.37</v>
      </c>
      <c r="N67" s="18">
        <f t="shared" si="7"/>
        <v>7.11</v>
      </c>
      <c r="O67" s="12"/>
    </row>
    <row r="68" spans="1:15" ht="36.75" thickBot="1">
      <c r="A68" s="5"/>
      <c r="B68" s="10">
        <f t="shared" si="8"/>
        <v>66</v>
      </c>
      <c r="C68" s="14" t="s">
        <v>227</v>
      </c>
      <c r="D68" s="15" t="s">
        <v>296</v>
      </c>
      <c r="E68" s="16" t="s">
        <v>297</v>
      </c>
      <c r="F68" s="12" t="s">
        <v>111</v>
      </c>
      <c r="G68" s="16" t="s">
        <v>298</v>
      </c>
      <c r="H68" s="15" t="s">
        <v>231</v>
      </c>
      <c r="I68" s="16" t="s">
        <v>150</v>
      </c>
      <c r="J68" s="15">
        <v>2</v>
      </c>
      <c r="K68" s="12">
        <f t="shared" ref="K68:K130" si="9">3*J68</f>
        <v>6</v>
      </c>
      <c r="L68" s="19" t="s">
        <v>114</v>
      </c>
      <c r="M68" s="18">
        <v>6.8999999999999999E-3</v>
      </c>
      <c r="N68" s="18">
        <f t="shared" si="7"/>
        <v>4.1399999999999999E-2</v>
      </c>
      <c r="O68" s="15"/>
    </row>
    <row r="69" spans="1:15" ht="24.75" thickBot="1">
      <c r="A69" s="5"/>
      <c r="B69" s="10">
        <f t="shared" si="8"/>
        <v>67</v>
      </c>
      <c r="C69" s="11" t="s">
        <v>269</v>
      </c>
      <c r="D69" s="12" t="s">
        <v>299</v>
      </c>
      <c r="E69" s="13" t="s">
        <v>300</v>
      </c>
      <c r="F69" s="12" t="s">
        <v>111</v>
      </c>
      <c r="G69" s="13" t="s">
        <v>301</v>
      </c>
      <c r="H69" s="12" t="s">
        <v>247</v>
      </c>
      <c r="I69" s="16" t="s">
        <v>150</v>
      </c>
      <c r="J69" s="12">
        <v>1</v>
      </c>
      <c r="K69" s="12">
        <f t="shared" si="9"/>
        <v>3</v>
      </c>
      <c r="L69" s="19" t="s">
        <v>114</v>
      </c>
      <c r="M69" s="18">
        <v>0.49419999999999997</v>
      </c>
      <c r="N69" s="18">
        <f t="shared" si="7"/>
        <v>1.4825999999999999</v>
      </c>
      <c r="O69" s="12"/>
    </row>
    <row r="70" spans="1:15" ht="15.75" thickBot="1">
      <c r="A70" s="5"/>
      <c r="B70" s="10">
        <f t="shared" si="8"/>
        <v>68</v>
      </c>
      <c r="C70" s="14" t="s">
        <v>302</v>
      </c>
      <c r="D70" s="15" t="s">
        <v>303</v>
      </c>
      <c r="E70" s="16" t="s">
        <v>304</v>
      </c>
      <c r="F70" s="12" t="s">
        <v>111</v>
      </c>
      <c r="G70" s="16" t="s">
        <v>305</v>
      </c>
      <c r="H70" s="15" t="s">
        <v>306</v>
      </c>
      <c r="I70" s="16" t="s">
        <v>150</v>
      </c>
      <c r="J70" s="15">
        <v>5</v>
      </c>
      <c r="K70" s="12">
        <f t="shared" si="9"/>
        <v>15</v>
      </c>
      <c r="L70" s="19" t="s">
        <v>21</v>
      </c>
      <c r="M70" s="18">
        <v>4.49</v>
      </c>
      <c r="N70" s="18">
        <f t="shared" si="7"/>
        <v>67.350000000000009</v>
      </c>
      <c r="O70" s="15"/>
    </row>
    <row r="71" spans="1:15" ht="16.5" thickBot="1">
      <c r="A71" s="5"/>
      <c r="B71" s="10">
        <f t="shared" si="8"/>
        <v>69</v>
      </c>
      <c r="C71" s="14" t="s">
        <v>709</v>
      </c>
      <c r="D71" s="15" t="s">
        <v>307</v>
      </c>
      <c r="E71" s="15" t="s">
        <v>308</v>
      </c>
      <c r="F71" s="15" t="s">
        <v>111</v>
      </c>
      <c r="G71" s="15" t="s">
        <v>714</v>
      </c>
      <c r="H71" s="15" t="s">
        <v>53</v>
      </c>
      <c r="I71" s="16" t="s">
        <v>150</v>
      </c>
      <c r="J71" s="12">
        <v>4</v>
      </c>
      <c r="K71" s="12">
        <f t="shared" si="9"/>
        <v>12</v>
      </c>
      <c r="L71" s="19" t="s">
        <v>21</v>
      </c>
      <c r="M71" s="18">
        <v>0.54</v>
      </c>
      <c r="N71" s="18">
        <f t="shared" si="7"/>
        <v>6.48</v>
      </c>
      <c r="O71" s="35"/>
    </row>
    <row r="72" spans="1:15" ht="15.75" thickBot="1">
      <c r="A72" s="5"/>
      <c r="B72" s="10">
        <f t="shared" si="8"/>
        <v>70</v>
      </c>
      <c r="C72" s="14" t="s">
        <v>309</v>
      </c>
      <c r="D72" s="15" t="s">
        <v>310</v>
      </c>
      <c r="E72" s="16" t="s">
        <v>311</v>
      </c>
      <c r="F72" s="12" t="s">
        <v>111</v>
      </c>
      <c r="G72" s="16" t="s">
        <v>312</v>
      </c>
      <c r="H72" s="15" t="s">
        <v>313</v>
      </c>
      <c r="I72" s="16" t="s">
        <v>314</v>
      </c>
      <c r="J72" s="15">
        <v>1</v>
      </c>
      <c r="K72" s="12">
        <f t="shared" si="9"/>
        <v>3</v>
      </c>
      <c r="L72" s="19" t="s">
        <v>21</v>
      </c>
      <c r="M72" s="18">
        <v>0.39</v>
      </c>
      <c r="N72" s="18">
        <f t="shared" si="7"/>
        <v>1.17</v>
      </c>
      <c r="O72" s="15"/>
    </row>
    <row r="73" spans="1:15" ht="15.75" thickBot="1">
      <c r="A73" s="5"/>
      <c r="B73" s="10">
        <f t="shared" si="8"/>
        <v>71</v>
      </c>
      <c r="C73" s="11" t="s">
        <v>309</v>
      </c>
      <c r="D73" s="12" t="s">
        <v>315</v>
      </c>
      <c r="E73" s="13" t="s">
        <v>316</v>
      </c>
      <c r="F73" s="12" t="s">
        <v>111</v>
      </c>
      <c r="G73" s="13" t="s">
        <v>317</v>
      </c>
      <c r="H73" s="12" t="s">
        <v>318</v>
      </c>
      <c r="I73" s="13" t="s">
        <v>319</v>
      </c>
      <c r="J73" s="12">
        <v>2</v>
      </c>
      <c r="K73" s="12">
        <f t="shared" si="9"/>
        <v>6</v>
      </c>
      <c r="L73" s="19" t="s">
        <v>21</v>
      </c>
      <c r="M73" s="18">
        <v>0.2</v>
      </c>
      <c r="N73" s="18">
        <f t="shared" si="7"/>
        <v>1.2000000000000002</v>
      </c>
      <c r="O73" s="12"/>
    </row>
    <row r="74" spans="1:15" ht="24.75" thickBot="1">
      <c r="A74" s="5"/>
      <c r="B74" s="10">
        <f t="shared" si="8"/>
        <v>72</v>
      </c>
      <c r="C74" s="14" t="s">
        <v>309</v>
      </c>
      <c r="D74" s="15" t="s">
        <v>320</v>
      </c>
      <c r="E74" s="16" t="s">
        <v>321</v>
      </c>
      <c r="F74" s="12" t="s">
        <v>111</v>
      </c>
      <c r="G74" s="16" t="s">
        <v>322</v>
      </c>
      <c r="H74" s="15" t="s">
        <v>323</v>
      </c>
      <c r="I74" s="16" t="s">
        <v>324</v>
      </c>
      <c r="J74" s="15">
        <v>2</v>
      </c>
      <c r="K74" s="12">
        <f t="shared" si="9"/>
        <v>6</v>
      </c>
      <c r="L74" s="19" t="s">
        <v>114</v>
      </c>
      <c r="M74" s="18">
        <v>0.79559999999999997</v>
      </c>
      <c r="N74" s="18">
        <f t="shared" si="7"/>
        <v>4.7736000000000001</v>
      </c>
      <c r="O74" s="15"/>
    </row>
    <row r="75" spans="1:15" ht="36.75" thickBot="1">
      <c r="A75" s="5"/>
      <c r="B75" s="10">
        <f t="shared" si="8"/>
        <v>73</v>
      </c>
      <c r="C75" s="11" t="s">
        <v>325</v>
      </c>
      <c r="D75" s="12" t="s">
        <v>326</v>
      </c>
      <c r="E75" s="13" t="s">
        <v>327</v>
      </c>
      <c r="F75" s="12" t="s">
        <v>328</v>
      </c>
      <c r="G75" s="13" t="s">
        <v>329</v>
      </c>
      <c r="H75" s="12" t="s">
        <v>330</v>
      </c>
      <c r="I75" s="13" t="s">
        <v>150</v>
      </c>
      <c r="J75" s="12">
        <v>1</v>
      </c>
      <c r="K75" s="12">
        <f t="shared" si="9"/>
        <v>3</v>
      </c>
      <c r="L75" s="19" t="s">
        <v>114</v>
      </c>
      <c r="M75" s="18">
        <v>2.18E-2</v>
      </c>
      <c r="N75" s="18">
        <f t="shared" si="7"/>
        <v>6.54E-2</v>
      </c>
      <c r="O75" s="12"/>
    </row>
    <row r="76" spans="1:15" ht="36.75" thickBot="1">
      <c r="A76" s="5"/>
      <c r="B76" s="10">
        <f t="shared" si="8"/>
        <v>74</v>
      </c>
      <c r="C76" s="14" t="s">
        <v>325</v>
      </c>
      <c r="D76" s="15" t="s">
        <v>331</v>
      </c>
      <c r="E76" s="16" t="s">
        <v>332</v>
      </c>
      <c r="F76" s="15" t="s">
        <v>328</v>
      </c>
      <c r="G76" s="16" t="s">
        <v>333</v>
      </c>
      <c r="H76" s="15" t="s">
        <v>330</v>
      </c>
      <c r="I76" s="16" t="s">
        <v>150</v>
      </c>
      <c r="J76" s="15">
        <v>2</v>
      </c>
      <c r="K76" s="12">
        <f t="shared" si="9"/>
        <v>6</v>
      </c>
      <c r="L76" s="19" t="s">
        <v>114</v>
      </c>
      <c r="M76" s="18">
        <v>2.18E-2</v>
      </c>
      <c r="N76" s="18">
        <f t="shared" si="7"/>
        <v>0.1308</v>
      </c>
      <c r="O76" s="15"/>
    </row>
    <row r="77" spans="1:15" ht="36.75" thickBot="1">
      <c r="A77" s="5"/>
      <c r="B77" s="10">
        <f t="shared" si="8"/>
        <v>75</v>
      </c>
      <c r="C77" s="11" t="s">
        <v>325</v>
      </c>
      <c r="D77" s="12" t="s">
        <v>334</v>
      </c>
      <c r="E77" s="13" t="s">
        <v>335</v>
      </c>
      <c r="F77" s="12" t="s">
        <v>328</v>
      </c>
      <c r="G77" s="13" t="s">
        <v>336</v>
      </c>
      <c r="H77" s="12" t="s">
        <v>330</v>
      </c>
      <c r="I77" s="13" t="s">
        <v>150</v>
      </c>
      <c r="J77" s="12">
        <v>1</v>
      </c>
      <c r="K77" s="12">
        <f t="shared" si="9"/>
        <v>3</v>
      </c>
      <c r="L77" s="19" t="s">
        <v>114</v>
      </c>
      <c r="M77" s="18">
        <v>1.9599999999999999E-2</v>
      </c>
      <c r="N77" s="18">
        <f t="shared" si="7"/>
        <v>5.8799999999999998E-2</v>
      </c>
      <c r="O77" s="12"/>
    </row>
    <row r="78" spans="1:15" ht="15.75" thickBot="1">
      <c r="A78" s="5"/>
      <c r="B78" s="10">
        <f t="shared" si="8"/>
        <v>76</v>
      </c>
      <c r="C78" s="14" t="s">
        <v>325</v>
      </c>
      <c r="D78" s="15" t="s">
        <v>337</v>
      </c>
      <c r="E78" s="16" t="s">
        <v>338</v>
      </c>
      <c r="F78" s="15" t="s">
        <v>339</v>
      </c>
      <c r="G78" s="16" t="s">
        <v>340</v>
      </c>
      <c r="H78" s="15" t="s">
        <v>341</v>
      </c>
      <c r="I78" s="13" t="s">
        <v>150</v>
      </c>
      <c r="J78" s="15">
        <v>1</v>
      </c>
      <c r="K78" s="12">
        <f t="shared" si="9"/>
        <v>3</v>
      </c>
      <c r="L78" s="17" t="s">
        <v>21</v>
      </c>
      <c r="M78" s="18">
        <v>0.35</v>
      </c>
      <c r="N78" s="18">
        <f t="shared" si="7"/>
        <v>1.0499999999999998</v>
      </c>
      <c r="O78" s="15"/>
    </row>
    <row r="79" spans="1:15" ht="15.75" thickBot="1">
      <c r="A79" s="5"/>
      <c r="B79" s="10">
        <f t="shared" si="8"/>
        <v>77</v>
      </c>
      <c r="C79" s="11" t="s">
        <v>325</v>
      </c>
      <c r="D79" s="12" t="s">
        <v>342</v>
      </c>
      <c r="E79" s="13" t="s">
        <v>343</v>
      </c>
      <c r="F79" s="12" t="s">
        <v>339</v>
      </c>
      <c r="G79" s="13" t="s">
        <v>344</v>
      </c>
      <c r="H79" s="12" t="s">
        <v>341</v>
      </c>
      <c r="I79" s="13" t="s">
        <v>150</v>
      </c>
      <c r="J79" s="12">
        <v>1</v>
      </c>
      <c r="K79" s="12">
        <f t="shared" si="9"/>
        <v>3</v>
      </c>
      <c r="L79" s="19" t="s">
        <v>21</v>
      </c>
      <c r="M79" s="18">
        <v>0.3</v>
      </c>
      <c r="N79" s="18">
        <f t="shared" si="7"/>
        <v>0.89999999999999991</v>
      </c>
      <c r="O79" s="12"/>
    </row>
    <row r="80" spans="1:15" ht="15.75" thickBot="1">
      <c r="A80" s="5"/>
      <c r="B80" s="10">
        <f t="shared" si="8"/>
        <v>78</v>
      </c>
      <c r="C80" s="14" t="s">
        <v>325</v>
      </c>
      <c r="D80" s="15" t="s">
        <v>345</v>
      </c>
      <c r="E80" s="16" t="s">
        <v>346</v>
      </c>
      <c r="F80" s="15" t="s">
        <v>339</v>
      </c>
      <c r="G80" s="16" t="s">
        <v>347</v>
      </c>
      <c r="H80" s="15" t="s">
        <v>341</v>
      </c>
      <c r="I80" s="13" t="s">
        <v>150</v>
      </c>
      <c r="J80" s="15">
        <v>1</v>
      </c>
      <c r="K80" s="12">
        <f t="shared" si="9"/>
        <v>3</v>
      </c>
      <c r="L80" s="19" t="s">
        <v>21</v>
      </c>
      <c r="M80" s="18">
        <v>0.51</v>
      </c>
      <c r="N80" s="18">
        <f t="shared" si="7"/>
        <v>1.53</v>
      </c>
      <c r="O80" s="15"/>
    </row>
    <row r="81" spans="1:19" ht="24.75" thickBot="1">
      <c r="A81" s="5"/>
      <c r="B81" s="10">
        <f t="shared" si="8"/>
        <v>79</v>
      </c>
      <c r="C81" s="11" t="s">
        <v>348</v>
      </c>
      <c r="D81" s="12" t="s">
        <v>349</v>
      </c>
      <c r="E81" s="13" t="s">
        <v>350</v>
      </c>
      <c r="F81" s="12" t="s">
        <v>351</v>
      </c>
      <c r="G81" s="13" t="s">
        <v>352</v>
      </c>
      <c r="H81" s="12" t="s">
        <v>353</v>
      </c>
      <c r="I81" s="13" t="s">
        <v>150</v>
      </c>
      <c r="J81" s="12">
        <v>6</v>
      </c>
      <c r="K81" s="12">
        <f t="shared" si="9"/>
        <v>18</v>
      </c>
      <c r="L81" s="19" t="s">
        <v>114</v>
      </c>
      <c r="M81" s="18">
        <v>8.6800000000000002E-2</v>
      </c>
      <c r="N81" s="18">
        <f t="shared" si="7"/>
        <v>1.5624</v>
      </c>
      <c r="O81" s="12"/>
    </row>
    <row r="82" spans="1:19" ht="36.75" thickBot="1">
      <c r="A82" s="5"/>
      <c r="B82" s="10">
        <f t="shared" si="8"/>
        <v>80</v>
      </c>
      <c r="C82" s="14" t="s">
        <v>354</v>
      </c>
      <c r="D82" s="15" t="s">
        <v>355</v>
      </c>
      <c r="E82" s="16" t="s">
        <v>356</v>
      </c>
      <c r="F82" s="15" t="s">
        <v>357</v>
      </c>
      <c r="G82" s="16" t="s">
        <v>358</v>
      </c>
      <c r="H82" s="15" t="s">
        <v>359</v>
      </c>
      <c r="I82" s="13" t="s">
        <v>150</v>
      </c>
      <c r="J82" s="15">
        <v>1</v>
      </c>
      <c r="K82" s="12">
        <f t="shared" si="9"/>
        <v>3</v>
      </c>
      <c r="L82" s="19" t="s">
        <v>21</v>
      </c>
      <c r="M82" s="18">
        <v>0.53</v>
      </c>
      <c r="N82" s="18">
        <f t="shared" si="7"/>
        <v>1.59</v>
      </c>
      <c r="O82" s="15"/>
    </row>
    <row r="83" spans="1:19" ht="15.75" thickBot="1">
      <c r="A83" s="5"/>
      <c r="B83" s="10">
        <f t="shared" si="8"/>
        <v>81</v>
      </c>
      <c r="C83" s="11" t="s">
        <v>354</v>
      </c>
      <c r="D83" s="12" t="s">
        <v>360</v>
      </c>
      <c r="E83" s="13" t="s">
        <v>361</v>
      </c>
      <c r="F83" s="12" t="s">
        <v>186</v>
      </c>
      <c r="G83" s="13" t="s">
        <v>362</v>
      </c>
      <c r="H83" s="12" t="s">
        <v>149</v>
      </c>
      <c r="I83" s="13" t="s">
        <v>150</v>
      </c>
      <c r="J83" s="12">
        <v>4</v>
      </c>
      <c r="K83" s="12">
        <f t="shared" si="9"/>
        <v>12</v>
      </c>
      <c r="L83" s="19" t="s">
        <v>114</v>
      </c>
      <c r="M83" s="18">
        <v>4.5400000000000003E-2</v>
      </c>
      <c r="N83" s="18">
        <f t="shared" si="7"/>
        <v>0.54480000000000006</v>
      </c>
      <c r="O83" s="12"/>
    </row>
    <row r="84" spans="1:19" ht="24.75" thickBot="1">
      <c r="A84" s="5"/>
      <c r="B84" s="10">
        <f t="shared" si="8"/>
        <v>82</v>
      </c>
      <c r="C84" s="14" t="s">
        <v>363</v>
      </c>
      <c r="D84" s="15" t="s">
        <v>364</v>
      </c>
      <c r="E84" s="16" t="s">
        <v>365</v>
      </c>
      <c r="F84" s="15" t="s">
        <v>186</v>
      </c>
      <c r="G84" s="16" t="s">
        <v>366</v>
      </c>
      <c r="H84" s="15" t="s">
        <v>367</v>
      </c>
      <c r="I84" s="13" t="s">
        <v>150</v>
      </c>
      <c r="J84" s="15">
        <v>2</v>
      </c>
      <c r="K84" s="12">
        <f t="shared" si="9"/>
        <v>6</v>
      </c>
      <c r="L84" s="17" t="s">
        <v>21</v>
      </c>
      <c r="M84" s="18">
        <v>0.28999999999999998</v>
      </c>
      <c r="N84" s="18">
        <f t="shared" si="7"/>
        <v>1.7399999999999998</v>
      </c>
      <c r="O84" s="15"/>
    </row>
    <row r="85" spans="1:19" ht="24.75" thickBot="1">
      <c r="A85" s="5"/>
      <c r="B85" s="10">
        <f t="shared" si="8"/>
        <v>83</v>
      </c>
      <c r="C85" s="11" t="s">
        <v>368</v>
      </c>
      <c r="D85" s="12" t="s">
        <v>369</v>
      </c>
      <c r="E85" s="13" t="s">
        <v>370</v>
      </c>
      <c r="F85" s="12" t="s">
        <v>186</v>
      </c>
      <c r="G85" s="13" t="s">
        <v>371</v>
      </c>
      <c r="H85" s="12" t="s">
        <v>372</v>
      </c>
      <c r="I85" s="13" t="s">
        <v>150</v>
      </c>
      <c r="J85" s="12">
        <v>5</v>
      </c>
      <c r="K85" s="12">
        <f t="shared" si="9"/>
        <v>15</v>
      </c>
      <c r="L85" s="19" t="s">
        <v>21</v>
      </c>
      <c r="M85" s="18">
        <v>0.41</v>
      </c>
      <c r="N85" s="18">
        <f t="shared" si="7"/>
        <v>6.1499999999999995</v>
      </c>
      <c r="O85" s="12"/>
    </row>
    <row r="86" spans="1:19" ht="24.75" thickBot="1">
      <c r="A86" s="5"/>
      <c r="B86" s="10">
        <f t="shared" si="8"/>
        <v>84</v>
      </c>
      <c r="C86" s="14" t="s">
        <v>368</v>
      </c>
      <c r="D86" s="15" t="s">
        <v>373</v>
      </c>
      <c r="E86" s="16" t="s">
        <v>374</v>
      </c>
      <c r="F86" s="15" t="s">
        <v>186</v>
      </c>
      <c r="G86" s="16" t="s">
        <v>375</v>
      </c>
      <c r="H86" s="15" t="s">
        <v>376</v>
      </c>
      <c r="I86" s="13" t="s">
        <v>150</v>
      </c>
      <c r="J86" s="15">
        <v>1</v>
      </c>
      <c r="K86" s="12">
        <f t="shared" si="9"/>
        <v>3</v>
      </c>
      <c r="L86" s="19" t="s">
        <v>21</v>
      </c>
      <c r="M86" s="18">
        <v>0.44</v>
      </c>
      <c r="N86" s="18">
        <f t="shared" si="7"/>
        <v>1.32</v>
      </c>
      <c r="O86" s="15"/>
    </row>
    <row r="87" spans="1:19" ht="15.75" thickBot="1">
      <c r="A87" s="5"/>
      <c r="B87" s="10">
        <f t="shared" si="8"/>
        <v>85</v>
      </c>
      <c r="C87" s="11" t="s">
        <v>363</v>
      </c>
      <c r="D87" s="12" t="s">
        <v>377</v>
      </c>
      <c r="E87" s="13" t="s">
        <v>378</v>
      </c>
      <c r="F87" s="12" t="s">
        <v>379</v>
      </c>
      <c r="G87" s="13" t="s">
        <v>380</v>
      </c>
      <c r="H87" s="12" t="s">
        <v>381</v>
      </c>
      <c r="I87" s="13" t="s">
        <v>150</v>
      </c>
      <c r="J87" s="12">
        <v>1</v>
      </c>
      <c r="K87" s="12">
        <f t="shared" si="9"/>
        <v>3</v>
      </c>
      <c r="L87" s="19" t="s">
        <v>21</v>
      </c>
      <c r="M87" s="18">
        <v>0.25</v>
      </c>
      <c r="N87" s="18">
        <f t="shared" si="7"/>
        <v>0.75</v>
      </c>
      <c r="O87" s="12"/>
    </row>
    <row r="88" spans="1:19" ht="48.75" thickBot="1">
      <c r="A88" s="5"/>
      <c r="B88" s="10">
        <f t="shared" si="8"/>
        <v>86</v>
      </c>
      <c r="C88" s="14" t="s">
        <v>354</v>
      </c>
      <c r="D88" s="15" t="s">
        <v>382</v>
      </c>
      <c r="E88" s="16" t="s">
        <v>383</v>
      </c>
      <c r="F88" s="15" t="s">
        <v>384</v>
      </c>
      <c r="G88" s="16" t="s">
        <v>385</v>
      </c>
      <c r="H88" s="15" t="s">
        <v>149</v>
      </c>
      <c r="I88" s="13" t="s">
        <v>150</v>
      </c>
      <c r="J88" s="15">
        <v>1</v>
      </c>
      <c r="K88" s="12">
        <f t="shared" si="9"/>
        <v>3</v>
      </c>
      <c r="L88" s="19" t="s">
        <v>114</v>
      </c>
      <c r="M88" s="18">
        <v>2.8000000000000001E-2</v>
      </c>
      <c r="N88" s="18">
        <f t="shared" si="7"/>
        <v>8.4000000000000005E-2</v>
      </c>
      <c r="O88" s="15"/>
    </row>
    <row r="89" spans="1:19" ht="60.75" thickBot="1">
      <c r="A89" s="5"/>
      <c r="B89" s="10">
        <f t="shared" si="8"/>
        <v>87</v>
      </c>
      <c r="C89" s="11" t="s">
        <v>386</v>
      </c>
      <c r="D89" s="12" t="s">
        <v>387</v>
      </c>
      <c r="E89" s="13" t="s">
        <v>388</v>
      </c>
      <c r="F89" s="12" t="s">
        <v>389</v>
      </c>
      <c r="G89" s="13" t="s">
        <v>390</v>
      </c>
      <c r="H89" s="12" t="s">
        <v>19</v>
      </c>
      <c r="I89" s="13" t="s">
        <v>391</v>
      </c>
      <c r="J89" s="12">
        <v>40</v>
      </c>
      <c r="K89" s="12">
        <f t="shared" si="9"/>
        <v>120</v>
      </c>
      <c r="L89" s="19" t="s">
        <v>21</v>
      </c>
      <c r="M89" s="18">
        <v>7.3000000000000001E-3</v>
      </c>
      <c r="N89" s="18">
        <f t="shared" si="7"/>
        <v>0.876</v>
      </c>
      <c r="O89" s="12"/>
    </row>
    <row r="90" spans="1:19" ht="15.75" thickBot="1">
      <c r="A90" s="5"/>
      <c r="B90" s="10">
        <f t="shared" si="8"/>
        <v>88</v>
      </c>
      <c r="C90" s="14" t="s">
        <v>386</v>
      </c>
      <c r="D90" s="15" t="s">
        <v>392</v>
      </c>
      <c r="E90" s="16" t="s">
        <v>393</v>
      </c>
      <c r="F90" s="15" t="s">
        <v>389</v>
      </c>
      <c r="G90" s="16" t="s">
        <v>394</v>
      </c>
      <c r="H90" s="15" t="s">
        <v>19</v>
      </c>
      <c r="I90" s="16" t="s">
        <v>395</v>
      </c>
      <c r="J90" s="15">
        <v>6</v>
      </c>
      <c r="K90" s="12">
        <f t="shared" si="9"/>
        <v>18</v>
      </c>
      <c r="L90" s="19" t="s">
        <v>21</v>
      </c>
      <c r="M90" s="18">
        <v>1.4999999999999999E-2</v>
      </c>
      <c r="N90" s="18">
        <f t="shared" si="7"/>
        <v>0.27</v>
      </c>
      <c r="O90" s="15"/>
    </row>
    <row r="91" spans="1:19" ht="15.75" thickBot="1">
      <c r="A91" s="5"/>
      <c r="B91" s="10">
        <f t="shared" si="8"/>
        <v>89</v>
      </c>
      <c r="C91" s="11" t="s">
        <v>386</v>
      </c>
      <c r="D91" s="12" t="s">
        <v>396</v>
      </c>
      <c r="E91" s="13" t="s">
        <v>397</v>
      </c>
      <c r="F91" s="12" t="s">
        <v>389</v>
      </c>
      <c r="G91" s="13" t="s">
        <v>398</v>
      </c>
      <c r="H91" s="12" t="s">
        <v>19</v>
      </c>
      <c r="I91" s="13" t="s">
        <v>399</v>
      </c>
      <c r="J91" s="12">
        <v>7</v>
      </c>
      <c r="K91" s="12">
        <f t="shared" si="9"/>
        <v>21</v>
      </c>
      <c r="L91" s="19" t="s">
        <v>21</v>
      </c>
      <c r="M91" s="18">
        <v>2.4E-2</v>
      </c>
      <c r="N91" s="18">
        <f t="shared" si="7"/>
        <v>0.504</v>
      </c>
      <c r="O91" s="12"/>
    </row>
    <row r="92" spans="1:19" ht="84.75" thickBot="1">
      <c r="A92" s="5"/>
      <c r="B92" s="10">
        <f t="shared" si="8"/>
        <v>90</v>
      </c>
      <c r="C92" s="14" t="s">
        <v>386</v>
      </c>
      <c r="D92" s="15" t="s">
        <v>400</v>
      </c>
      <c r="E92" s="16" t="s">
        <v>401</v>
      </c>
      <c r="F92" s="15" t="s">
        <v>389</v>
      </c>
      <c r="G92" s="16" t="s">
        <v>402</v>
      </c>
      <c r="H92" s="15" t="s">
        <v>19</v>
      </c>
      <c r="I92" s="16" t="s">
        <v>403</v>
      </c>
      <c r="J92" s="15">
        <v>49</v>
      </c>
      <c r="K92" s="12">
        <f t="shared" si="9"/>
        <v>147</v>
      </c>
      <c r="L92" s="19" t="s">
        <v>21</v>
      </c>
      <c r="M92" s="18">
        <v>7.3000000000000001E-3</v>
      </c>
      <c r="N92" s="18">
        <f t="shared" si="7"/>
        <v>1.0730999999999999</v>
      </c>
      <c r="O92" s="15"/>
    </row>
    <row r="93" spans="1:19" ht="15.75" thickBot="1">
      <c r="A93" s="5"/>
      <c r="B93" s="10">
        <f t="shared" si="8"/>
        <v>91</v>
      </c>
      <c r="C93" s="11" t="s">
        <v>386</v>
      </c>
      <c r="D93" s="12" t="s">
        <v>404</v>
      </c>
      <c r="E93" s="13" t="s">
        <v>405</v>
      </c>
      <c r="F93" s="12" t="s">
        <v>389</v>
      </c>
      <c r="G93" s="13" t="s">
        <v>406</v>
      </c>
      <c r="H93" s="12" t="s">
        <v>19</v>
      </c>
      <c r="I93" s="13" t="s">
        <v>407</v>
      </c>
      <c r="J93" s="12">
        <v>7</v>
      </c>
      <c r="K93" s="12">
        <f t="shared" si="9"/>
        <v>21</v>
      </c>
      <c r="L93" s="19" t="s">
        <v>21</v>
      </c>
      <c r="M93" s="18">
        <v>1.4999999999999999E-2</v>
      </c>
      <c r="N93" s="18">
        <f t="shared" si="7"/>
        <v>0.315</v>
      </c>
      <c r="O93" s="12"/>
    </row>
    <row r="94" spans="1:19" s="1" customFormat="1" ht="15.75" thickBot="1">
      <c r="A94" s="20"/>
      <c r="B94" s="21">
        <f t="shared" si="8"/>
        <v>92</v>
      </c>
      <c r="C94" s="22" t="s">
        <v>386</v>
      </c>
      <c r="D94" s="23" t="s">
        <v>408</v>
      </c>
      <c r="E94" s="24" t="s">
        <v>409</v>
      </c>
      <c r="F94" s="23" t="s">
        <v>389</v>
      </c>
      <c r="G94" s="24" t="s">
        <v>410</v>
      </c>
      <c r="H94" s="23" t="s">
        <v>19</v>
      </c>
      <c r="I94" s="24" t="s">
        <v>411</v>
      </c>
      <c r="J94" s="23">
        <v>2</v>
      </c>
      <c r="K94" s="26">
        <f t="shared" si="9"/>
        <v>6</v>
      </c>
      <c r="L94" s="26" t="s">
        <v>21</v>
      </c>
      <c r="M94" s="36" t="s">
        <v>150</v>
      </c>
      <c r="N94" s="36" t="s">
        <v>150</v>
      </c>
      <c r="O94" s="37" t="s">
        <v>412</v>
      </c>
      <c r="Q94"/>
      <c r="R94"/>
      <c r="S94"/>
    </row>
    <row r="95" spans="1:19" ht="15.75" thickBot="1">
      <c r="A95" s="5"/>
      <c r="B95" s="10">
        <f t="shared" si="8"/>
        <v>93</v>
      </c>
      <c r="C95" s="11" t="s">
        <v>386</v>
      </c>
      <c r="D95" s="12" t="s">
        <v>413</v>
      </c>
      <c r="E95" s="13" t="s">
        <v>414</v>
      </c>
      <c r="F95" s="12" t="s">
        <v>415</v>
      </c>
      <c r="G95" s="13" t="s">
        <v>416</v>
      </c>
      <c r="H95" s="12" t="s">
        <v>19</v>
      </c>
      <c r="I95" s="13" t="s">
        <v>391</v>
      </c>
      <c r="J95" s="12">
        <v>2</v>
      </c>
      <c r="K95" s="12">
        <f t="shared" si="9"/>
        <v>6</v>
      </c>
      <c r="L95" s="19" t="s">
        <v>21</v>
      </c>
      <c r="M95" s="18">
        <v>0.1</v>
      </c>
      <c r="N95" s="18">
        <f t="shared" si="7"/>
        <v>0.60000000000000009</v>
      </c>
      <c r="O95" s="12"/>
    </row>
    <row r="96" spans="1:19" ht="48.75" thickBot="1">
      <c r="A96" s="5"/>
      <c r="B96" s="10">
        <f t="shared" si="8"/>
        <v>94</v>
      </c>
      <c r="C96" s="14" t="s">
        <v>386</v>
      </c>
      <c r="D96" s="15" t="s">
        <v>417</v>
      </c>
      <c r="E96" s="16" t="s">
        <v>418</v>
      </c>
      <c r="F96" s="15" t="s">
        <v>389</v>
      </c>
      <c r="G96" s="16" t="s">
        <v>419</v>
      </c>
      <c r="H96" s="15" t="s">
        <v>19</v>
      </c>
      <c r="I96" s="16" t="s">
        <v>420</v>
      </c>
      <c r="J96" s="15">
        <v>26</v>
      </c>
      <c r="K96" s="12">
        <f t="shared" si="9"/>
        <v>78</v>
      </c>
      <c r="L96" s="19" t="s">
        <v>21</v>
      </c>
      <c r="M96" s="18">
        <v>8.8000000000000005E-3</v>
      </c>
      <c r="N96" s="18">
        <f t="shared" si="7"/>
        <v>0.68640000000000001</v>
      </c>
      <c r="O96" s="15"/>
    </row>
    <row r="97" spans="1:19" ht="15.75" thickBot="1">
      <c r="A97" s="5"/>
      <c r="B97" s="10">
        <f t="shared" si="8"/>
        <v>95</v>
      </c>
      <c r="C97" s="11" t="s">
        <v>386</v>
      </c>
      <c r="D97" s="12" t="s">
        <v>421</v>
      </c>
      <c r="E97" s="13" t="s">
        <v>422</v>
      </c>
      <c r="F97" s="12" t="s">
        <v>415</v>
      </c>
      <c r="G97" s="13" t="s">
        <v>423</v>
      </c>
      <c r="H97" s="12" t="s">
        <v>19</v>
      </c>
      <c r="I97" s="13" t="s">
        <v>424</v>
      </c>
      <c r="J97" s="12">
        <v>1</v>
      </c>
      <c r="K97" s="12">
        <f t="shared" si="9"/>
        <v>3</v>
      </c>
      <c r="L97" s="19" t="s">
        <v>21</v>
      </c>
      <c r="M97" s="18">
        <v>0.13463</v>
      </c>
      <c r="N97" s="18">
        <f t="shared" si="7"/>
        <v>0.40388999999999997</v>
      </c>
      <c r="O97" s="12"/>
    </row>
    <row r="98" spans="1:19" ht="48.75" thickBot="1">
      <c r="A98" s="5"/>
      <c r="B98" s="10">
        <f t="shared" si="8"/>
        <v>96</v>
      </c>
      <c r="C98" s="14" t="s">
        <v>386</v>
      </c>
      <c r="D98" s="15" t="s">
        <v>425</v>
      </c>
      <c r="E98" s="16" t="s">
        <v>426</v>
      </c>
      <c r="F98" s="15" t="s">
        <v>389</v>
      </c>
      <c r="G98" s="16" t="s">
        <v>427</v>
      </c>
      <c r="H98" s="15" t="s">
        <v>19</v>
      </c>
      <c r="I98" s="16" t="s">
        <v>428</v>
      </c>
      <c r="J98" s="15">
        <v>27</v>
      </c>
      <c r="K98" s="12">
        <f t="shared" si="9"/>
        <v>81</v>
      </c>
      <c r="L98" s="19" t="s">
        <v>21</v>
      </c>
      <c r="M98" s="18">
        <v>6.4000000000000003E-3</v>
      </c>
      <c r="N98" s="18">
        <f t="shared" si="7"/>
        <v>0.51839999999999997</v>
      </c>
      <c r="O98" s="15"/>
    </row>
    <row r="99" spans="1:19" ht="15.75" thickBot="1">
      <c r="A99" s="5"/>
      <c r="B99" s="10">
        <f t="shared" si="8"/>
        <v>97</v>
      </c>
      <c r="C99" s="11" t="s">
        <v>429</v>
      </c>
      <c r="D99" s="12" t="s">
        <v>430</v>
      </c>
      <c r="E99" s="13" t="s">
        <v>431</v>
      </c>
      <c r="F99" s="12" t="s">
        <v>111</v>
      </c>
      <c r="G99" s="13" t="s">
        <v>432</v>
      </c>
      <c r="H99" s="12" t="s">
        <v>19</v>
      </c>
      <c r="I99" s="13" t="s">
        <v>391</v>
      </c>
      <c r="J99" s="12">
        <v>4</v>
      </c>
      <c r="K99" s="12">
        <f t="shared" si="9"/>
        <v>12</v>
      </c>
      <c r="L99" s="19" t="s">
        <v>21</v>
      </c>
      <c r="M99" s="18">
        <v>0.11700000000000001</v>
      </c>
      <c r="N99" s="18">
        <f t="shared" si="7"/>
        <v>1.4040000000000001</v>
      </c>
      <c r="O99" s="12"/>
    </row>
    <row r="100" spans="1:19" ht="15.75" thickBot="1">
      <c r="A100" s="5"/>
      <c r="B100" s="10">
        <f t="shared" si="8"/>
        <v>98</v>
      </c>
      <c r="C100" s="14" t="s">
        <v>386</v>
      </c>
      <c r="D100" s="15" t="s">
        <v>433</v>
      </c>
      <c r="E100" s="16" t="s">
        <v>434</v>
      </c>
      <c r="F100" s="15" t="s">
        <v>389</v>
      </c>
      <c r="G100" s="16" t="s">
        <v>435</v>
      </c>
      <c r="H100" s="15" t="s">
        <v>19</v>
      </c>
      <c r="I100" s="16" t="s">
        <v>436</v>
      </c>
      <c r="J100" s="15">
        <v>4</v>
      </c>
      <c r="K100" s="12">
        <f t="shared" si="9"/>
        <v>12</v>
      </c>
      <c r="L100" s="19" t="s">
        <v>21</v>
      </c>
      <c r="M100" s="18">
        <v>1.4999999999999999E-2</v>
      </c>
      <c r="N100" s="18">
        <f t="shared" si="7"/>
        <v>0.18</v>
      </c>
      <c r="O100" s="15"/>
    </row>
    <row r="101" spans="1:19" ht="15.75" thickBot="1">
      <c r="A101" s="5"/>
      <c r="B101" s="10">
        <f t="shared" si="8"/>
        <v>99</v>
      </c>
      <c r="C101" s="11" t="s">
        <v>386</v>
      </c>
      <c r="D101" s="12" t="s">
        <v>437</v>
      </c>
      <c r="E101" s="13" t="s">
        <v>438</v>
      </c>
      <c r="F101" s="12" t="s">
        <v>389</v>
      </c>
      <c r="G101" s="13" t="s">
        <v>439</v>
      </c>
      <c r="H101" s="12" t="s">
        <v>19</v>
      </c>
      <c r="I101" s="13" t="s">
        <v>440</v>
      </c>
      <c r="J101" s="12">
        <v>4</v>
      </c>
      <c r="K101" s="12">
        <f t="shared" si="9"/>
        <v>12</v>
      </c>
      <c r="L101" s="19" t="s">
        <v>21</v>
      </c>
      <c r="M101" s="18">
        <v>2.7E-2</v>
      </c>
      <c r="N101" s="18">
        <f t="shared" si="7"/>
        <v>0.32400000000000001</v>
      </c>
      <c r="O101" s="12"/>
    </row>
    <row r="102" spans="1:19" ht="15.75" thickBot="1">
      <c r="A102" s="5"/>
      <c r="B102" s="10">
        <f t="shared" si="8"/>
        <v>100</v>
      </c>
      <c r="C102" s="14" t="s">
        <v>386</v>
      </c>
      <c r="D102" s="15" t="s">
        <v>441</v>
      </c>
      <c r="E102" s="16" t="s">
        <v>442</v>
      </c>
      <c r="F102" s="15" t="s">
        <v>415</v>
      </c>
      <c r="G102" s="16" t="s">
        <v>443</v>
      </c>
      <c r="H102" s="15" t="s">
        <v>19</v>
      </c>
      <c r="I102" s="16" t="s">
        <v>444</v>
      </c>
      <c r="J102" s="15">
        <v>1</v>
      </c>
      <c r="K102" s="12">
        <f t="shared" si="9"/>
        <v>3</v>
      </c>
      <c r="L102" s="19" t="s">
        <v>21</v>
      </c>
      <c r="M102" s="18">
        <v>1.9E-2</v>
      </c>
      <c r="N102" s="18">
        <f t="shared" si="7"/>
        <v>5.6999999999999995E-2</v>
      </c>
      <c r="O102" s="15"/>
    </row>
    <row r="103" spans="1:19" ht="15.75" thickBot="1">
      <c r="A103" s="5"/>
      <c r="B103" s="10">
        <f t="shared" si="8"/>
        <v>101</v>
      </c>
      <c r="C103" s="11" t="s">
        <v>386</v>
      </c>
      <c r="D103" s="12" t="s">
        <v>445</v>
      </c>
      <c r="E103" s="13" t="s">
        <v>446</v>
      </c>
      <c r="F103" s="12" t="s">
        <v>389</v>
      </c>
      <c r="G103" s="13" t="s">
        <v>447</v>
      </c>
      <c r="H103" s="12" t="s">
        <v>19</v>
      </c>
      <c r="I103" s="13" t="s">
        <v>448</v>
      </c>
      <c r="J103" s="12">
        <v>5</v>
      </c>
      <c r="K103" s="12">
        <f t="shared" si="9"/>
        <v>15</v>
      </c>
      <c r="L103" s="19" t="s">
        <v>21</v>
      </c>
      <c r="M103" s="18">
        <v>1.4999999999999999E-2</v>
      </c>
      <c r="N103" s="18">
        <f t="shared" si="7"/>
        <v>0.22499999999999998</v>
      </c>
      <c r="O103" s="12"/>
    </row>
    <row r="104" spans="1:19" ht="15.75" thickBot="1">
      <c r="A104" s="5"/>
      <c r="B104" s="10">
        <f t="shared" si="8"/>
        <v>102</v>
      </c>
      <c r="C104" s="14" t="s">
        <v>386</v>
      </c>
      <c r="D104" s="15" t="s">
        <v>449</v>
      </c>
      <c r="E104" s="16" t="s">
        <v>450</v>
      </c>
      <c r="F104" s="15" t="s">
        <v>415</v>
      </c>
      <c r="G104" s="16" t="s">
        <v>451</v>
      </c>
      <c r="H104" s="15" t="s">
        <v>19</v>
      </c>
      <c r="I104" s="16" t="s">
        <v>452</v>
      </c>
      <c r="J104" s="15">
        <v>1</v>
      </c>
      <c r="K104" s="12">
        <f t="shared" si="9"/>
        <v>3</v>
      </c>
      <c r="L104" s="19" t="s">
        <v>21</v>
      </c>
      <c r="M104" s="18">
        <v>0.1</v>
      </c>
      <c r="N104" s="18">
        <f t="shared" si="7"/>
        <v>0.30000000000000004</v>
      </c>
      <c r="O104" s="15"/>
    </row>
    <row r="105" spans="1:19" ht="15.75" thickBot="1">
      <c r="A105" s="5"/>
      <c r="B105" s="10">
        <f t="shared" si="8"/>
        <v>103</v>
      </c>
      <c r="C105" s="11" t="s">
        <v>386</v>
      </c>
      <c r="D105" s="12" t="s">
        <v>453</v>
      </c>
      <c r="E105" s="13" t="s">
        <v>454</v>
      </c>
      <c r="F105" s="12" t="s">
        <v>415</v>
      </c>
      <c r="G105" s="13" t="s">
        <v>455</v>
      </c>
      <c r="H105" s="12" t="s">
        <v>19</v>
      </c>
      <c r="I105" s="13" t="s">
        <v>456</v>
      </c>
      <c r="J105" s="12">
        <v>1</v>
      </c>
      <c r="K105" s="12">
        <f t="shared" si="9"/>
        <v>3</v>
      </c>
      <c r="L105" s="19" t="s">
        <v>21</v>
      </c>
      <c r="M105" s="18">
        <v>0.1</v>
      </c>
      <c r="N105" s="18">
        <f t="shared" si="7"/>
        <v>0.30000000000000004</v>
      </c>
      <c r="O105" s="12"/>
    </row>
    <row r="106" spans="1:19" ht="15.75" thickBot="1">
      <c r="A106" s="5"/>
      <c r="B106" s="10">
        <f t="shared" si="8"/>
        <v>104</v>
      </c>
      <c r="C106" s="14" t="s">
        <v>386</v>
      </c>
      <c r="D106" s="15" t="s">
        <v>457</v>
      </c>
      <c r="E106" s="16" t="s">
        <v>458</v>
      </c>
      <c r="F106" s="15" t="s">
        <v>415</v>
      </c>
      <c r="G106" s="16" t="s">
        <v>459</v>
      </c>
      <c r="H106" s="15" t="s">
        <v>19</v>
      </c>
      <c r="I106" s="16" t="s">
        <v>460</v>
      </c>
      <c r="J106" s="15">
        <v>1</v>
      </c>
      <c r="K106" s="12">
        <f t="shared" si="9"/>
        <v>3</v>
      </c>
      <c r="L106" s="19" t="s">
        <v>21</v>
      </c>
      <c r="M106" s="18">
        <v>0.1</v>
      </c>
      <c r="N106" s="18">
        <f t="shared" si="7"/>
        <v>0.30000000000000004</v>
      </c>
      <c r="O106" s="15"/>
    </row>
    <row r="107" spans="1:19" s="1" customFormat="1" ht="15.75" thickBot="1">
      <c r="A107" s="20"/>
      <c r="B107" s="10">
        <f t="shared" si="8"/>
        <v>105</v>
      </c>
      <c r="C107" s="25" t="s">
        <v>386</v>
      </c>
      <c r="D107" s="26" t="s">
        <v>461</v>
      </c>
      <c r="E107" s="27" t="s">
        <v>393</v>
      </c>
      <c r="F107" s="26" t="s">
        <v>389</v>
      </c>
      <c r="G107" s="27" t="s">
        <v>394</v>
      </c>
      <c r="H107" s="26" t="s">
        <v>19</v>
      </c>
      <c r="I107" s="27" t="s">
        <v>411</v>
      </c>
      <c r="J107" s="26">
        <v>1</v>
      </c>
      <c r="K107" s="26">
        <f t="shared" si="9"/>
        <v>3</v>
      </c>
      <c r="L107" s="26" t="s">
        <v>21</v>
      </c>
      <c r="M107" s="36" t="s">
        <v>150</v>
      </c>
      <c r="N107" s="36" t="s">
        <v>150</v>
      </c>
      <c r="O107" s="37" t="s">
        <v>412</v>
      </c>
      <c r="Q107"/>
      <c r="R107"/>
      <c r="S107"/>
    </row>
    <row r="108" spans="1:19" ht="15.75" thickBot="1">
      <c r="A108" s="5"/>
      <c r="B108" s="10">
        <f t="shared" si="8"/>
        <v>106</v>
      </c>
      <c r="C108" s="14" t="s">
        <v>386</v>
      </c>
      <c r="D108" s="15" t="s">
        <v>713</v>
      </c>
      <c r="E108" s="16" t="s">
        <v>462</v>
      </c>
      <c r="F108" s="15" t="s">
        <v>389</v>
      </c>
      <c r="G108" s="16" t="s">
        <v>463</v>
      </c>
      <c r="H108" s="15" t="s">
        <v>19</v>
      </c>
      <c r="I108" s="16" t="s">
        <v>464</v>
      </c>
      <c r="J108" s="15">
        <v>3</v>
      </c>
      <c r="K108" s="12">
        <f t="shared" si="9"/>
        <v>9</v>
      </c>
      <c r="L108" s="19" t="s">
        <v>21</v>
      </c>
      <c r="M108" s="18">
        <v>0.1</v>
      </c>
      <c r="N108" s="18">
        <f t="shared" si="7"/>
        <v>0.9</v>
      </c>
      <c r="O108" s="15"/>
    </row>
    <row r="109" spans="1:19" ht="15.75" thickBot="1">
      <c r="A109" s="5"/>
      <c r="B109" s="10">
        <f t="shared" si="8"/>
        <v>107</v>
      </c>
      <c r="C109" s="14" t="s">
        <v>386</v>
      </c>
      <c r="D109" s="12" t="s">
        <v>465</v>
      </c>
      <c r="E109" s="13" t="s">
        <v>466</v>
      </c>
      <c r="F109" s="12" t="s">
        <v>389</v>
      </c>
      <c r="G109" s="13" t="s">
        <v>467</v>
      </c>
      <c r="H109" s="12" t="s">
        <v>19</v>
      </c>
      <c r="I109" s="13" t="s">
        <v>468</v>
      </c>
      <c r="J109" s="12">
        <v>2</v>
      </c>
      <c r="K109" s="12">
        <f t="shared" si="9"/>
        <v>6</v>
      </c>
      <c r="L109" s="19" t="s">
        <v>21</v>
      </c>
      <c r="M109" s="18">
        <v>0.1</v>
      </c>
      <c r="N109" s="18">
        <f t="shared" si="7"/>
        <v>0.60000000000000009</v>
      </c>
      <c r="O109" s="12"/>
    </row>
    <row r="110" spans="1:19" ht="15.75" thickBot="1">
      <c r="A110" s="5"/>
      <c r="B110" s="10">
        <f t="shared" si="8"/>
        <v>108</v>
      </c>
      <c r="C110" s="22" t="s">
        <v>386</v>
      </c>
      <c r="D110" s="23" t="s">
        <v>469</v>
      </c>
      <c r="E110" s="24" t="s">
        <v>426</v>
      </c>
      <c r="F110" s="23" t="s">
        <v>389</v>
      </c>
      <c r="G110" s="24" t="s">
        <v>427</v>
      </c>
      <c r="H110" s="23" t="s">
        <v>19</v>
      </c>
      <c r="I110" s="24" t="s">
        <v>411</v>
      </c>
      <c r="J110" s="23">
        <v>2</v>
      </c>
      <c r="K110" s="26">
        <f t="shared" si="9"/>
        <v>6</v>
      </c>
      <c r="L110" s="26" t="s">
        <v>21</v>
      </c>
      <c r="M110" s="36" t="s">
        <v>150</v>
      </c>
      <c r="N110" s="36" t="s">
        <v>150</v>
      </c>
      <c r="O110" s="37" t="s">
        <v>412</v>
      </c>
    </row>
    <row r="111" spans="1:19" ht="15.75" thickBot="1">
      <c r="A111" s="5"/>
      <c r="B111" s="10">
        <f t="shared" si="8"/>
        <v>109</v>
      </c>
      <c r="C111" s="11" t="s">
        <v>386</v>
      </c>
      <c r="D111" s="12" t="s">
        <v>470</v>
      </c>
      <c r="E111" s="13" t="s">
        <v>471</v>
      </c>
      <c r="F111" s="12" t="s">
        <v>415</v>
      </c>
      <c r="G111" s="13" t="s">
        <v>472</v>
      </c>
      <c r="H111" s="12" t="s">
        <v>473</v>
      </c>
      <c r="I111" s="13" t="s">
        <v>407</v>
      </c>
      <c r="J111" s="12">
        <v>2</v>
      </c>
      <c r="K111" s="12">
        <f t="shared" si="9"/>
        <v>6</v>
      </c>
      <c r="L111" s="19" t="s">
        <v>21</v>
      </c>
      <c r="M111" s="18">
        <v>0.1</v>
      </c>
      <c r="N111" s="18">
        <f t="shared" si="7"/>
        <v>0.60000000000000009</v>
      </c>
      <c r="O111" s="12"/>
    </row>
    <row r="112" spans="1:19" ht="15.75" thickBot="1">
      <c r="A112" s="5"/>
      <c r="B112" s="10">
        <f t="shared" si="8"/>
        <v>110</v>
      </c>
      <c r="C112" s="14" t="s">
        <v>386</v>
      </c>
      <c r="D112" s="15" t="s">
        <v>474</v>
      </c>
      <c r="E112" s="16" t="s">
        <v>475</v>
      </c>
      <c r="F112" s="15" t="s">
        <v>415</v>
      </c>
      <c r="G112" s="16" t="s">
        <v>476</v>
      </c>
      <c r="H112" s="15" t="s">
        <v>19</v>
      </c>
      <c r="I112" s="16" t="s">
        <v>477</v>
      </c>
      <c r="J112" s="15">
        <v>2</v>
      </c>
      <c r="K112" s="12">
        <f t="shared" si="9"/>
        <v>6</v>
      </c>
      <c r="L112" s="19" t="s">
        <v>21</v>
      </c>
      <c r="M112" s="18">
        <v>0.1</v>
      </c>
      <c r="N112" s="18">
        <f t="shared" si="7"/>
        <v>0.60000000000000009</v>
      </c>
      <c r="O112" s="15"/>
    </row>
    <row r="113" spans="1:19" ht="15.75" thickBot="1">
      <c r="A113" s="5"/>
      <c r="B113" s="10">
        <f t="shared" si="8"/>
        <v>111</v>
      </c>
      <c r="C113" s="11" t="s">
        <v>386</v>
      </c>
      <c r="D113" s="12" t="s">
        <v>478</v>
      </c>
      <c r="E113" s="13" t="s">
        <v>479</v>
      </c>
      <c r="F113" s="12" t="s">
        <v>415</v>
      </c>
      <c r="G113" s="13" t="s">
        <v>480</v>
      </c>
      <c r="H113" s="12" t="s">
        <v>19</v>
      </c>
      <c r="I113" s="13" t="s">
        <v>428</v>
      </c>
      <c r="J113" s="12">
        <v>4</v>
      </c>
      <c r="K113" s="12">
        <f t="shared" si="9"/>
        <v>12</v>
      </c>
      <c r="L113" s="19" t="s">
        <v>21</v>
      </c>
      <c r="M113" s="18">
        <v>1.4999999999999999E-2</v>
      </c>
      <c r="N113" s="18">
        <f t="shared" si="7"/>
        <v>0.18</v>
      </c>
      <c r="O113" s="12"/>
    </row>
    <row r="114" spans="1:19" ht="15.75" thickBot="1">
      <c r="A114" s="5"/>
      <c r="B114" s="10">
        <f t="shared" si="8"/>
        <v>112</v>
      </c>
      <c r="C114" s="14" t="s">
        <v>386</v>
      </c>
      <c r="D114" s="15" t="s">
        <v>481</v>
      </c>
      <c r="E114" s="16" t="s">
        <v>482</v>
      </c>
      <c r="F114" s="15" t="s">
        <v>389</v>
      </c>
      <c r="G114" s="16" t="s">
        <v>483</v>
      </c>
      <c r="H114" s="15" t="s">
        <v>473</v>
      </c>
      <c r="I114" s="16" t="s">
        <v>484</v>
      </c>
      <c r="J114" s="15">
        <v>2</v>
      </c>
      <c r="K114" s="12">
        <f t="shared" si="9"/>
        <v>6</v>
      </c>
      <c r="L114" s="19" t="s">
        <v>21</v>
      </c>
      <c r="M114" s="18">
        <v>0.13</v>
      </c>
      <c r="N114" s="18">
        <f t="shared" si="7"/>
        <v>0.78</v>
      </c>
      <c r="O114" s="15"/>
    </row>
    <row r="115" spans="1:19" s="2" customFormat="1" ht="15.75" thickBot="1">
      <c r="A115" s="28"/>
      <c r="B115" s="29">
        <f t="shared" si="8"/>
        <v>113</v>
      </c>
      <c r="C115" s="30" t="s">
        <v>386</v>
      </c>
      <c r="D115" s="31" t="s">
        <v>485</v>
      </c>
      <c r="E115" s="32" t="s">
        <v>486</v>
      </c>
      <c r="F115" s="31" t="s">
        <v>389</v>
      </c>
      <c r="G115" s="32" t="s">
        <v>487</v>
      </c>
      <c r="H115" s="31" t="s">
        <v>19</v>
      </c>
      <c r="I115" s="32" t="s">
        <v>488</v>
      </c>
      <c r="J115" s="31">
        <v>8</v>
      </c>
      <c r="K115" s="31">
        <f t="shared" si="9"/>
        <v>24</v>
      </c>
      <c r="L115" s="38" t="s">
        <v>21</v>
      </c>
      <c r="M115" s="39">
        <v>1.4999999999999999E-2</v>
      </c>
      <c r="N115" s="39">
        <f t="shared" si="7"/>
        <v>0.36</v>
      </c>
      <c r="O115" s="31"/>
      <c r="Q115"/>
      <c r="R115"/>
      <c r="S115"/>
    </row>
    <row r="116" spans="1:19" s="2" customFormat="1" ht="15.75" thickBot="1">
      <c r="A116" s="28"/>
      <c r="B116" s="29">
        <f t="shared" si="8"/>
        <v>114</v>
      </c>
      <c r="C116" s="30" t="s">
        <v>386</v>
      </c>
      <c r="D116" s="33" t="s">
        <v>489</v>
      </c>
      <c r="E116" s="34" t="s">
        <v>409</v>
      </c>
      <c r="F116" s="33" t="s">
        <v>389</v>
      </c>
      <c r="G116" s="34" t="s">
        <v>410</v>
      </c>
      <c r="H116" s="33" t="s">
        <v>19</v>
      </c>
      <c r="I116" s="34" t="s">
        <v>490</v>
      </c>
      <c r="J116" s="33">
        <v>8</v>
      </c>
      <c r="K116" s="31">
        <f t="shared" si="9"/>
        <v>24</v>
      </c>
      <c r="L116" s="38" t="s">
        <v>21</v>
      </c>
      <c r="M116" s="39">
        <v>1.4999999999999999E-2</v>
      </c>
      <c r="N116" s="39">
        <f t="shared" si="7"/>
        <v>0.36</v>
      </c>
      <c r="O116" s="33"/>
      <c r="Q116"/>
      <c r="R116"/>
      <c r="S116"/>
    </row>
    <row r="117" spans="1:19" ht="15.75" thickBot="1">
      <c r="A117" s="5"/>
      <c r="B117" s="10">
        <f t="shared" si="8"/>
        <v>115</v>
      </c>
      <c r="C117" s="11" t="s">
        <v>386</v>
      </c>
      <c r="D117" s="12" t="s">
        <v>491</v>
      </c>
      <c r="E117" s="13" t="s">
        <v>492</v>
      </c>
      <c r="F117" s="12" t="s">
        <v>389</v>
      </c>
      <c r="G117" s="13" t="s">
        <v>493</v>
      </c>
      <c r="H117" s="12" t="s">
        <v>19</v>
      </c>
      <c r="I117" s="13" t="s">
        <v>494</v>
      </c>
      <c r="J117" s="12">
        <v>2</v>
      </c>
      <c r="K117" s="12">
        <f t="shared" si="9"/>
        <v>6</v>
      </c>
      <c r="L117" s="19" t="s">
        <v>21</v>
      </c>
      <c r="M117" s="18">
        <v>0.1</v>
      </c>
      <c r="N117" s="18">
        <f t="shared" si="7"/>
        <v>0.60000000000000009</v>
      </c>
      <c r="O117" s="12"/>
    </row>
    <row r="118" spans="1:19" ht="15.75" thickBot="1">
      <c r="A118" s="5"/>
      <c r="B118" s="10">
        <f t="shared" si="8"/>
        <v>116</v>
      </c>
      <c r="C118" s="14" t="s">
        <v>386</v>
      </c>
      <c r="D118" s="15" t="s">
        <v>495</v>
      </c>
      <c r="E118" s="16" t="s">
        <v>496</v>
      </c>
      <c r="F118" s="15" t="s">
        <v>389</v>
      </c>
      <c r="G118" s="16" t="s">
        <v>497</v>
      </c>
      <c r="H118" s="15" t="s">
        <v>19</v>
      </c>
      <c r="I118" s="16" t="s">
        <v>498</v>
      </c>
      <c r="J118" s="15">
        <v>2</v>
      </c>
      <c r="K118" s="12">
        <f t="shared" si="9"/>
        <v>6</v>
      </c>
      <c r="L118" s="19" t="s">
        <v>21</v>
      </c>
      <c r="M118" s="18">
        <v>0.1</v>
      </c>
      <c r="N118" s="18">
        <f t="shared" si="7"/>
        <v>0.60000000000000009</v>
      </c>
      <c r="O118" s="15"/>
    </row>
    <row r="119" spans="1:19" ht="15.75" thickBot="1">
      <c r="A119" s="5"/>
      <c r="B119" s="10">
        <f t="shared" si="8"/>
        <v>117</v>
      </c>
      <c r="C119" s="11" t="s">
        <v>499</v>
      </c>
      <c r="D119" s="12" t="s">
        <v>500</v>
      </c>
      <c r="E119" s="13" t="s">
        <v>501</v>
      </c>
      <c r="F119" s="12" t="s">
        <v>389</v>
      </c>
      <c r="G119" s="13" t="s">
        <v>502</v>
      </c>
      <c r="H119" s="12" t="s">
        <v>19</v>
      </c>
      <c r="I119" s="13" t="s">
        <v>424</v>
      </c>
      <c r="J119" s="12">
        <v>2</v>
      </c>
      <c r="K119" s="12">
        <f t="shared" si="9"/>
        <v>6</v>
      </c>
      <c r="L119" s="19" t="s">
        <v>21</v>
      </c>
      <c r="M119" s="18">
        <v>0.1</v>
      </c>
      <c r="N119" s="18">
        <f t="shared" si="7"/>
        <v>0.60000000000000009</v>
      </c>
      <c r="O119" s="12"/>
    </row>
    <row r="120" spans="1:19" ht="15.75" thickBot="1">
      <c r="A120" s="5"/>
      <c r="B120" s="10">
        <f t="shared" si="8"/>
        <v>118</v>
      </c>
      <c r="C120" s="14" t="s">
        <v>499</v>
      </c>
      <c r="D120" s="15" t="s">
        <v>503</v>
      </c>
      <c r="E120" s="16" t="s">
        <v>504</v>
      </c>
      <c r="F120" s="15" t="s">
        <v>389</v>
      </c>
      <c r="G120" s="16" t="s">
        <v>505</v>
      </c>
      <c r="H120" s="15" t="s">
        <v>19</v>
      </c>
      <c r="I120" s="16" t="s">
        <v>506</v>
      </c>
      <c r="J120" s="15">
        <v>2</v>
      </c>
      <c r="K120" s="12">
        <f t="shared" si="9"/>
        <v>6</v>
      </c>
      <c r="L120" s="19" t="s">
        <v>21</v>
      </c>
      <c r="M120" s="18">
        <v>0.1</v>
      </c>
      <c r="N120" s="18">
        <f t="shared" ref="N120:N159" si="10">M120*K120</f>
        <v>0.60000000000000009</v>
      </c>
      <c r="O120" s="15"/>
    </row>
    <row r="121" spans="1:19" s="1" customFormat="1" ht="15.75" thickBot="1">
      <c r="A121" s="20"/>
      <c r="B121" s="10">
        <f t="shared" si="8"/>
        <v>119</v>
      </c>
      <c r="C121" s="25" t="s">
        <v>386</v>
      </c>
      <c r="D121" s="26" t="s">
        <v>507</v>
      </c>
      <c r="E121" s="27" t="s">
        <v>388</v>
      </c>
      <c r="F121" s="26" t="s">
        <v>389</v>
      </c>
      <c r="G121" s="27" t="s">
        <v>390</v>
      </c>
      <c r="H121" s="26" t="s">
        <v>19</v>
      </c>
      <c r="I121" s="27" t="s">
        <v>411</v>
      </c>
      <c r="J121" s="26">
        <v>2</v>
      </c>
      <c r="K121" s="26">
        <f t="shared" si="9"/>
        <v>6</v>
      </c>
      <c r="L121" s="26" t="s">
        <v>21</v>
      </c>
      <c r="M121" s="36" t="s">
        <v>150</v>
      </c>
      <c r="N121" s="36" t="s">
        <v>150</v>
      </c>
      <c r="O121" s="37" t="s">
        <v>412</v>
      </c>
      <c r="Q121"/>
      <c r="R121"/>
      <c r="S121"/>
    </row>
    <row r="122" spans="1:19" ht="15.75" thickBot="1">
      <c r="A122" s="5"/>
      <c r="B122" s="10">
        <f t="shared" si="8"/>
        <v>120</v>
      </c>
      <c r="C122" s="14" t="s">
        <v>386</v>
      </c>
      <c r="D122" s="15" t="s">
        <v>508</v>
      </c>
      <c r="E122" s="16" t="s">
        <v>509</v>
      </c>
      <c r="F122" s="15" t="s">
        <v>389</v>
      </c>
      <c r="G122" s="16" t="s">
        <v>510</v>
      </c>
      <c r="H122" s="15" t="s">
        <v>19</v>
      </c>
      <c r="I122" s="16" t="s">
        <v>511</v>
      </c>
      <c r="J122" s="15">
        <v>1</v>
      </c>
      <c r="K122" s="12">
        <f t="shared" si="9"/>
        <v>3</v>
      </c>
      <c r="L122" s="19" t="s">
        <v>21</v>
      </c>
      <c r="M122" s="18">
        <v>0.1</v>
      </c>
      <c r="N122" s="18">
        <f t="shared" si="10"/>
        <v>0.30000000000000004</v>
      </c>
      <c r="O122" s="15"/>
    </row>
    <row r="123" spans="1:19" ht="15.75" thickBot="1">
      <c r="A123" s="5"/>
      <c r="B123" s="10">
        <f t="shared" si="8"/>
        <v>121</v>
      </c>
      <c r="C123" s="14" t="s">
        <v>386</v>
      </c>
      <c r="D123" s="15" t="s">
        <v>512</v>
      </c>
      <c r="E123" s="16" t="s">
        <v>513</v>
      </c>
      <c r="F123" s="15" t="s">
        <v>415</v>
      </c>
      <c r="G123" s="16" t="s">
        <v>514</v>
      </c>
      <c r="H123" s="15" t="s">
        <v>19</v>
      </c>
      <c r="I123" s="16" t="s">
        <v>515</v>
      </c>
      <c r="J123" s="15">
        <v>2</v>
      </c>
      <c r="K123" s="12">
        <f t="shared" si="9"/>
        <v>6</v>
      </c>
      <c r="L123" s="19" t="s">
        <v>21</v>
      </c>
      <c r="M123" s="18">
        <v>0.1</v>
      </c>
      <c r="N123" s="18">
        <f t="shared" si="10"/>
        <v>0.60000000000000009</v>
      </c>
      <c r="O123" s="15"/>
    </row>
    <row r="124" spans="1:19" ht="15.75" thickBot="1">
      <c r="A124" s="5"/>
      <c r="B124" s="10">
        <f>ROW(B124)-ROW($B$2)</f>
        <v>122</v>
      </c>
      <c r="C124" s="11" t="s">
        <v>386</v>
      </c>
      <c r="D124" s="12" t="s">
        <v>516</v>
      </c>
      <c r="E124" s="13" t="s">
        <v>517</v>
      </c>
      <c r="F124" s="12" t="s">
        <v>389</v>
      </c>
      <c r="G124" s="13" t="s">
        <v>518</v>
      </c>
      <c r="H124" s="12" t="s">
        <v>19</v>
      </c>
      <c r="I124" s="13" t="s">
        <v>519</v>
      </c>
      <c r="J124" s="12">
        <v>1</v>
      </c>
      <c r="K124" s="12">
        <f t="shared" si="9"/>
        <v>3</v>
      </c>
      <c r="L124" s="19" t="s">
        <v>21</v>
      </c>
      <c r="M124" s="18">
        <v>0.1</v>
      </c>
      <c r="N124" s="18">
        <f t="shared" si="10"/>
        <v>0.30000000000000004</v>
      </c>
      <c r="O124" s="12"/>
    </row>
    <row r="125" spans="1:19" ht="15.75" thickBot="1">
      <c r="A125" s="5"/>
      <c r="B125" s="10">
        <f t="shared" si="8"/>
        <v>123</v>
      </c>
      <c r="C125" s="14" t="s">
        <v>386</v>
      </c>
      <c r="D125" s="15" t="s">
        <v>520</v>
      </c>
      <c r="E125" s="16" t="s">
        <v>521</v>
      </c>
      <c r="F125" s="15" t="s">
        <v>389</v>
      </c>
      <c r="G125" s="16" t="s">
        <v>522</v>
      </c>
      <c r="H125" s="15" t="s">
        <v>19</v>
      </c>
      <c r="I125" s="16" t="s">
        <v>523</v>
      </c>
      <c r="J125" s="15">
        <v>1</v>
      </c>
      <c r="K125" s="12">
        <f t="shared" si="9"/>
        <v>3</v>
      </c>
      <c r="L125" s="19" t="s">
        <v>21</v>
      </c>
      <c r="M125" s="18">
        <v>0.1</v>
      </c>
      <c r="N125" s="18">
        <f t="shared" si="10"/>
        <v>0.30000000000000004</v>
      </c>
      <c r="O125" s="15"/>
    </row>
    <row r="126" spans="1:19" ht="15.75" thickBot="1">
      <c r="A126" s="5"/>
      <c r="B126" s="10">
        <f>ROW(B126)-ROW($B$2)</f>
        <v>124</v>
      </c>
      <c r="C126" s="11" t="s">
        <v>386</v>
      </c>
      <c r="D126" s="12" t="s">
        <v>524</v>
      </c>
      <c r="E126" s="13" t="s">
        <v>525</v>
      </c>
      <c r="F126" s="12" t="s">
        <v>389</v>
      </c>
      <c r="G126" s="13" t="s">
        <v>526</v>
      </c>
      <c r="H126" s="12" t="s">
        <v>19</v>
      </c>
      <c r="I126" s="13" t="s">
        <v>527</v>
      </c>
      <c r="J126" s="12">
        <v>1</v>
      </c>
      <c r="K126" s="12">
        <f t="shared" si="9"/>
        <v>3</v>
      </c>
      <c r="L126" s="19" t="s">
        <v>21</v>
      </c>
      <c r="M126" s="18">
        <v>0.1</v>
      </c>
      <c r="N126" s="18">
        <f t="shared" si="10"/>
        <v>0.30000000000000004</v>
      </c>
      <c r="O126" s="12"/>
    </row>
    <row r="127" spans="1:19" ht="15.75" thickBot="1">
      <c r="A127" s="5"/>
      <c r="B127" s="10">
        <f t="shared" si="8"/>
        <v>125</v>
      </c>
      <c r="C127" s="14" t="s">
        <v>386</v>
      </c>
      <c r="D127" s="15" t="s">
        <v>528</v>
      </c>
      <c r="E127" s="16" t="s">
        <v>529</v>
      </c>
      <c r="F127" s="15" t="s">
        <v>389</v>
      </c>
      <c r="G127" s="16" t="s">
        <v>530</v>
      </c>
      <c r="H127" s="15" t="s">
        <v>19</v>
      </c>
      <c r="I127" s="16" t="s">
        <v>531</v>
      </c>
      <c r="J127" s="15">
        <v>1</v>
      </c>
      <c r="K127" s="12">
        <f t="shared" si="9"/>
        <v>3</v>
      </c>
      <c r="L127" s="19" t="s">
        <v>21</v>
      </c>
      <c r="M127" s="18">
        <v>0.1</v>
      </c>
      <c r="N127" s="18">
        <f t="shared" si="10"/>
        <v>0.30000000000000004</v>
      </c>
      <c r="O127" s="15"/>
    </row>
    <row r="128" spans="1:19" ht="15.75" thickBot="1">
      <c r="A128" s="5"/>
      <c r="B128" s="10">
        <f>ROW(B128)-ROW($B$2)</f>
        <v>126</v>
      </c>
      <c r="C128" s="11" t="s">
        <v>386</v>
      </c>
      <c r="D128" s="12" t="s">
        <v>532</v>
      </c>
      <c r="E128" s="13" t="s">
        <v>533</v>
      </c>
      <c r="F128" s="12" t="s">
        <v>389</v>
      </c>
      <c r="G128" s="13" t="s">
        <v>534</v>
      </c>
      <c r="H128" s="12" t="s">
        <v>19</v>
      </c>
      <c r="I128" s="13" t="s">
        <v>444</v>
      </c>
      <c r="J128" s="12">
        <v>2</v>
      </c>
      <c r="K128" s="12">
        <f t="shared" si="9"/>
        <v>6</v>
      </c>
      <c r="L128" s="19" t="s">
        <v>21</v>
      </c>
      <c r="M128" s="18">
        <v>0.16</v>
      </c>
      <c r="N128" s="18">
        <f t="shared" si="10"/>
        <v>0.96</v>
      </c>
      <c r="O128" s="12"/>
    </row>
    <row r="129" spans="1:15" ht="15.75" thickBot="1">
      <c r="A129" s="5"/>
      <c r="B129" s="10">
        <f t="shared" si="8"/>
        <v>127</v>
      </c>
      <c r="C129" s="14" t="s">
        <v>386</v>
      </c>
      <c r="D129" s="15" t="s">
        <v>535</v>
      </c>
      <c r="E129" s="16" t="s">
        <v>536</v>
      </c>
      <c r="F129" s="15" t="s">
        <v>389</v>
      </c>
      <c r="G129" s="16" t="s">
        <v>537</v>
      </c>
      <c r="H129" s="15" t="s">
        <v>19</v>
      </c>
      <c r="I129" s="16" t="s">
        <v>494</v>
      </c>
      <c r="J129" s="15">
        <v>1</v>
      </c>
      <c r="K129" s="12">
        <f t="shared" si="9"/>
        <v>3</v>
      </c>
      <c r="L129" s="19" t="s">
        <v>21</v>
      </c>
      <c r="M129" s="18">
        <v>0.16</v>
      </c>
      <c r="N129" s="18">
        <f t="shared" si="10"/>
        <v>0.48</v>
      </c>
      <c r="O129" s="15"/>
    </row>
    <row r="130" spans="1:15" ht="15.75" thickBot="1">
      <c r="A130" s="5"/>
      <c r="B130" s="10">
        <f>ROW(B130)-ROW($B$2)</f>
        <v>128</v>
      </c>
      <c r="C130" s="11" t="s">
        <v>386</v>
      </c>
      <c r="D130" s="12" t="s">
        <v>538</v>
      </c>
      <c r="E130" s="13" t="s">
        <v>539</v>
      </c>
      <c r="F130" s="12" t="s">
        <v>540</v>
      </c>
      <c r="G130" s="13" t="s">
        <v>541</v>
      </c>
      <c r="H130" s="12" t="s">
        <v>542</v>
      </c>
      <c r="I130" s="13" t="s">
        <v>420</v>
      </c>
      <c r="J130" s="12">
        <v>2</v>
      </c>
      <c r="K130" s="12">
        <f t="shared" si="9"/>
        <v>6</v>
      </c>
      <c r="L130" s="19" t="s">
        <v>21</v>
      </c>
      <c r="M130" s="18">
        <v>0.15</v>
      </c>
      <c r="N130" s="18">
        <f t="shared" si="10"/>
        <v>0.89999999999999991</v>
      </c>
      <c r="O130" s="12"/>
    </row>
    <row r="131" spans="1:15" ht="36.75" thickBot="1">
      <c r="A131" s="5"/>
      <c r="B131" s="10">
        <f t="shared" si="8"/>
        <v>129</v>
      </c>
      <c r="C131" s="14" t="s">
        <v>543</v>
      </c>
      <c r="D131" s="15" t="s">
        <v>544</v>
      </c>
      <c r="E131" s="16" t="s">
        <v>545</v>
      </c>
      <c r="F131" s="15" t="s">
        <v>111</v>
      </c>
      <c r="G131" s="16" t="s">
        <v>546</v>
      </c>
      <c r="H131" s="15" t="s">
        <v>547</v>
      </c>
      <c r="I131" s="16" t="s">
        <v>150</v>
      </c>
      <c r="J131" s="15">
        <v>6</v>
      </c>
      <c r="K131" s="12">
        <f t="shared" ref="K131:K160" si="11">3*J131</f>
        <v>18</v>
      </c>
      <c r="L131" s="19" t="s">
        <v>114</v>
      </c>
      <c r="M131" s="18">
        <v>6.9400000000000003E-2</v>
      </c>
      <c r="N131" s="18">
        <f t="shared" si="10"/>
        <v>1.2492000000000001</v>
      </c>
      <c r="O131" s="15"/>
    </row>
    <row r="132" spans="1:15" ht="24.75" thickBot="1">
      <c r="A132" s="5"/>
      <c r="B132" s="10">
        <f>ROW(B132)-ROW($B$2)</f>
        <v>130</v>
      </c>
      <c r="C132" s="11" t="s">
        <v>548</v>
      </c>
      <c r="D132" s="12" t="s">
        <v>549</v>
      </c>
      <c r="E132" s="13" t="s">
        <v>550</v>
      </c>
      <c r="F132" s="12" t="s">
        <v>551</v>
      </c>
      <c r="G132" s="13" t="s">
        <v>552</v>
      </c>
      <c r="H132" s="12" t="s">
        <v>553</v>
      </c>
      <c r="I132" s="16" t="s">
        <v>150</v>
      </c>
      <c r="J132" s="12">
        <v>1</v>
      </c>
      <c r="K132" s="12">
        <f t="shared" si="11"/>
        <v>3</v>
      </c>
      <c r="L132" s="19" t="s">
        <v>114</v>
      </c>
      <c r="M132" s="18">
        <v>0.25340000000000001</v>
      </c>
      <c r="N132" s="18">
        <f t="shared" si="10"/>
        <v>0.76019999999999999</v>
      </c>
      <c r="O132" s="12"/>
    </row>
    <row r="133" spans="1:15" ht="24.75" thickBot="1">
      <c r="A133" s="5"/>
      <c r="B133" s="10">
        <f t="shared" si="8"/>
        <v>131</v>
      </c>
      <c r="C133" s="11" t="s">
        <v>548</v>
      </c>
      <c r="D133" s="12" t="s">
        <v>554</v>
      </c>
      <c r="E133" s="12" t="s">
        <v>710</v>
      </c>
      <c r="F133" s="12" t="s">
        <v>555</v>
      </c>
      <c r="G133" s="12" t="s">
        <v>705</v>
      </c>
      <c r="H133" s="12" t="s">
        <v>556</v>
      </c>
      <c r="I133" s="16" t="s">
        <v>150</v>
      </c>
      <c r="J133" s="15">
        <v>1</v>
      </c>
      <c r="K133" s="12">
        <f t="shared" si="11"/>
        <v>3</v>
      </c>
      <c r="L133" s="19" t="s">
        <v>21</v>
      </c>
      <c r="M133" s="18">
        <v>1.5</v>
      </c>
      <c r="N133" s="18">
        <f t="shared" si="10"/>
        <v>4.5</v>
      </c>
      <c r="O133" s="40"/>
    </row>
    <row r="134" spans="1:15" ht="15.75" thickBot="1">
      <c r="A134" s="5"/>
      <c r="B134" s="10">
        <f>ROW(B134)-ROW($B$2)</f>
        <v>132</v>
      </c>
      <c r="C134" s="11" t="s">
        <v>548</v>
      </c>
      <c r="D134" s="12" t="s">
        <v>557</v>
      </c>
      <c r="E134" s="13" t="s">
        <v>558</v>
      </c>
      <c r="F134" s="12" t="s">
        <v>559</v>
      </c>
      <c r="G134" s="13" t="s">
        <v>560</v>
      </c>
      <c r="H134" s="12" t="s">
        <v>160</v>
      </c>
      <c r="I134" s="16" t="s">
        <v>150</v>
      </c>
      <c r="J134" s="12">
        <v>2</v>
      </c>
      <c r="K134" s="12">
        <f t="shared" si="11"/>
        <v>6</v>
      </c>
      <c r="L134" s="19" t="s">
        <v>21</v>
      </c>
      <c r="M134" s="18">
        <v>0.46</v>
      </c>
      <c r="N134" s="18">
        <f t="shared" si="10"/>
        <v>2.7600000000000002</v>
      </c>
      <c r="O134" s="12"/>
    </row>
    <row r="135" spans="1:15" ht="24.75" thickBot="1">
      <c r="A135" s="5"/>
      <c r="B135" s="10">
        <f t="shared" si="8"/>
        <v>133</v>
      </c>
      <c r="C135" s="14" t="s">
        <v>548</v>
      </c>
      <c r="D135" s="15" t="s">
        <v>561</v>
      </c>
      <c r="E135" s="16" t="s">
        <v>562</v>
      </c>
      <c r="F135" s="15" t="s">
        <v>563</v>
      </c>
      <c r="G135" s="16" t="s">
        <v>564</v>
      </c>
      <c r="H135" s="15" t="s">
        <v>556</v>
      </c>
      <c r="I135" s="16" t="s">
        <v>150</v>
      </c>
      <c r="J135" s="15">
        <v>1</v>
      </c>
      <c r="K135" s="12">
        <f t="shared" si="11"/>
        <v>3</v>
      </c>
      <c r="L135" s="19" t="s">
        <v>21</v>
      </c>
      <c r="M135" s="18">
        <v>1.18</v>
      </c>
      <c r="N135" s="18">
        <f t="shared" si="10"/>
        <v>3.54</v>
      </c>
      <c r="O135" s="15"/>
    </row>
    <row r="136" spans="1:15" ht="24.75" thickBot="1">
      <c r="A136" s="5"/>
      <c r="B136" s="10">
        <f>ROW(B136)-ROW($B$2)</f>
        <v>134</v>
      </c>
      <c r="C136" s="11" t="s">
        <v>548</v>
      </c>
      <c r="D136" s="12" t="s">
        <v>565</v>
      </c>
      <c r="E136" s="13" t="s">
        <v>566</v>
      </c>
      <c r="F136" s="12" t="s">
        <v>567</v>
      </c>
      <c r="G136" s="13" t="s">
        <v>568</v>
      </c>
      <c r="H136" s="12" t="s">
        <v>569</v>
      </c>
      <c r="I136" s="16" t="s">
        <v>150</v>
      </c>
      <c r="J136" s="12">
        <v>4</v>
      </c>
      <c r="K136" s="12">
        <f t="shared" si="11"/>
        <v>12</v>
      </c>
      <c r="L136" s="19" t="s">
        <v>114</v>
      </c>
      <c r="M136" s="18">
        <v>9.3799999999999994E-2</v>
      </c>
      <c r="N136" s="18">
        <f t="shared" si="10"/>
        <v>1.1255999999999999</v>
      </c>
      <c r="O136" s="12"/>
    </row>
    <row r="137" spans="1:15" ht="15.75" thickBot="1">
      <c r="A137" s="5"/>
      <c r="B137" s="10">
        <f t="shared" si="8"/>
        <v>135</v>
      </c>
      <c r="C137" s="14" t="s">
        <v>548</v>
      </c>
      <c r="D137" s="15" t="s">
        <v>570</v>
      </c>
      <c r="E137" s="16" t="s">
        <v>571</v>
      </c>
      <c r="F137" s="15" t="s">
        <v>572</v>
      </c>
      <c r="G137" s="16" t="s">
        <v>573</v>
      </c>
      <c r="H137" s="15" t="s">
        <v>574</v>
      </c>
      <c r="I137" s="16" t="s">
        <v>150</v>
      </c>
      <c r="J137" s="15">
        <v>1</v>
      </c>
      <c r="K137" s="12">
        <f t="shared" si="11"/>
        <v>3</v>
      </c>
      <c r="L137" s="19" t="s">
        <v>21</v>
      </c>
      <c r="M137" s="18">
        <v>1.51</v>
      </c>
      <c r="N137" s="18">
        <f t="shared" si="10"/>
        <v>4.53</v>
      </c>
      <c r="O137" s="15"/>
    </row>
    <row r="138" spans="1:15" ht="24.75" thickBot="1">
      <c r="A138" s="5"/>
      <c r="B138" s="10">
        <f>ROW(B138)-ROW($B$2)</f>
        <v>136</v>
      </c>
      <c r="C138" s="11" t="s">
        <v>548</v>
      </c>
      <c r="D138" s="12" t="s">
        <v>575</v>
      </c>
      <c r="E138" s="13" t="s">
        <v>576</v>
      </c>
      <c r="F138" s="12" t="s">
        <v>577</v>
      </c>
      <c r="G138" s="13" t="s">
        <v>578</v>
      </c>
      <c r="H138" s="12" t="s">
        <v>556</v>
      </c>
      <c r="I138" s="16" t="s">
        <v>150</v>
      </c>
      <c r="J138" s="12">
        <v>1</v>
      </c>
      <c r="K138" s="12">
        <f t="shared" si="11"/>
        <v>3</v>
      </c>
      <c r="L138" s="19" t="s">
        <v>21</v>
      </c>
      <c r="M138" s="18">
        <v>1.79</v>
      </c>
      <c r="N138" s="18">
        <f t="shared" si="10"/>
        <v>5.37</v>
      </c>
      <c r="O138" s="12"/>
    </row>
    <row r="139" spans="1:15" ht="15.75" thickBot="1">
      <c r="A139" s="5"/>
      <c r="B139" s="10">
        <f t="shared" si="8"/>
        <v>137</v>
      </c>
      <c r="C139" s="14" t="s">
        <v>548</v>
      </c>
      <c r="D139" s="15" t="s">
        <v>579</v>
      </c>
      <c r="E139" s="16" t="s">
        <v>580</v>
      </c>
      <c r="F139" s="15" t="s">
        <v>581</v>
      </c>
      <c r="G139" s="16" t="s">
        <v>582</v>
      </c>
      <c r="H139" s="15" t="s">
        <v>583</v>
      </c>
      <c r="I139" s="16" t="s">
        <v>150</v>
      </c>
      <c r="J139" s="15">
        <v>1</v>
      </c>
      <c r="K139" s="12">
        <f t="shared" si="11"/>
        <v>3</v>
      </c>
      <c r="L139" s="19" t="s">
        <v>21</v>
      </c>
      <c r="M139" s="18">
        <v>2.5253999999999999</v>
      </c>
      <c r="N139" s="18">
        <f t="shared" si="10"/>
        <v>7.5762</v>
      </c>
      <c r="O139" s="15"/>
    </row>
    <row r="140" spans="1:15" ht="15.75" thickBot="1">
      <c r="A140" s="5"/>
      <c r="B140" s="10">
        <f>ROW(B140)-ROW($B$2)</f>
        <v>138</v>
      </c>
      <c r="C140" s="11" t="s">
        <v>548</v>
      </c>
      <c r="D140" s="12" t="s">
        <v>584</v>
      </c>
      <c r="E140" s="13" t="s">
        <v>585</v>
      </c>
      <c r="F140" s="12" t="s">
        <v>581</v>
      </c>
      <c r="G140" s="13" t="s">
        <v>586</v>
      </c>
      <c r="H140" s="12" t="s">
        <v>587</v>
      </c>
      <c r="I140" s="16" t="s">
        <v>150</v>
      </c>
      <c r="J140" s="12">
        <v>1</v>
      </c>
      <c r="K140" s="12">
        <f t="shared" si="11"/>
        <v>3</v>
      </c>
      <c r="L140" s="19" t="s">
        <v>21</v>
      </c>
      <c r="M140" s="18">
        <v>5.57</v>
      </c>
      <c r="N140" s="18">
        <f t="shared" si="10"/>
        <v>16.71</v>
      </c>
      <c r="O140" s="12"/>
    </row>
    <row r="141" spans="1:15" ht="24.75" thickBot="1">
      <c r="A141" s="5"/>
      <c r="B141" s="10">
        <f t="shared" si="8"/>
        <v>139</v>
      </c>
      <c r="C141" s="14" t="s">
        <v>588</v>
      </c>
      <c r="D141" s="15" t="s">
        <v>589</v>
      </c>
      <c r="E141" s="16" t="s">
        <v>590</v>
      </c>
      <c r="F141" s="15" t="s">
        <v>111</v>
      </c>
      <c r="G141" s="16" t="s">
        <v>591</v>
      </c>
      <c r="H141" s="15" t="s">
        <v>592</v>
      </c>
      <c r="I141" s="16" t="s">
        <v>150</v>
      </c>
      <c r="J141" s="15">
        <v>1</v>
      </c>
      <c r="K141" s="12">
        <f t="shared" si="11"/>
        <v>3</v>
      </c>
      <c r="L141" s="19" t="s">
        <v>21</v>
      </c>
      <c r="M141" s="18">
        <v>18.03</v>
      </c>
      <c r="N141" s="18">
        <f t="shared" si="10"/>
        <v>54.09</v>
      </c>
      <c r="O141" s="15"/>
    </row>
    <row r="142" spans="1:15" ht="24.75" thickBot="1">
      <c r="A142" s="5"/>
      <c r="B142" s="10">
        <f>ROW(B142)-ROW($B$2)</f>
        <v>140</v>
      </c>
      <c r="C142" s="11" t="s">
        <v>548</v>
      </c>
      <c r="D142" s="12" t="s">
        <v>593</v>
      </c>
      <c r="E142" s="13" t="s">
        <v>594</v>
      </c>
      <c r="F142" s="15" t="s">
        <v>111</v>
      </c>
      <c r="G142" s="13" t="s">
        <v>595</v>
      </c>
      <c r="H142" s="12" t="s">
        <v>556</v>
      </c>
      <c r="I142" s="16" t="s">
        <v>150</v>
      </c>
      <c r="J142" s="12">
        <v>1</v>
      </c>
      <c r="K142" s="12">
        <f t="shared" si="11"/>
        <v>3</v>
      </c>
      <c r="L142" s="19" t="s">
        <v>21</v>
      </c>
      <c r="M142" s="18">
        <v>1.06</v>
      </c>
      <c r="N142" s="18">
        <f t="shared" si="10"/>
        <v>3.18</v>
      </c>
      <c r="O142" s="12"/>
    </row>
    <row r="143" spans="1:15" ht="24.75" thickBot="1">
      <c r="A143" s="5"/>
      <c r="B143" s="10">
        <f t="shared" si="8"/>
        <v>141</v>
      </c>
      <c r="C143" s="14" t="s">
        <v>596</v>
      </c>
      <c r="D143" s="15" t="s">
        <v>597</v>
      </c>
      <c r="E143" s="16" t="s">
        <v>598</v>
      </c>
      <c r="F143" s="15" t="s">
        <v>163</v>
      </c>
      <c r="G143" s="16" t="s">
        <v>599</v>
      </c>
      <c r="H143" s="15" t="s">
        <v>600</v>
      </c>
      <c r="I143" s="16" t="s">
        <v>150</v>
      </c>
      <c r="J143" s="15">
        <v>2</v>
      </c>
      <c r="K143" s="12">
        <f t="shared" si="11"/>
        <v>6</v>
      </c>
      <c r="L143" s="19" t="s">
        <v>114</v>
      </c>
      <c r="M143" s="18">
        <v>2.3199999999999998E-2</v>
      </c>
      <c r="N143" s="18">
        <f t="shared" si="10"/>
        <v>0.13919999999999999</v>
      </c>
      <c r="O143" s="15"/>
    </row>
    <row r="144" spans="1:15" ht="24.75" thickBot="1">
      <c r="A144" s="5"/>
      <c r="B144" s="10">
        <f>ROW(B144)-ROW($B$2)</f>
        <v>142</v>
      </c>
      <c r="C144" s="11" t="s">
        <v>548</v>
      </c>
      <c r="D144" s="12" t="s">
        <v>601</v>
      </c>
      <c r="E144" s="13" t="s">
        <v>602</v>
      </c>
      <c r="F144" s="15" t="s">
        <v>111</v>
      </c>
      <c r="G144" s="13" t="s">
        <v>603</v>
      </c>
      <c r="H144" s="12" t="s">
        <v>604</v>
      </c>
      <c r="I144" s="16" t="s">
        <v>150</v>
      </c>
      <c r="J144" s="12">
        <v>1</v>
      </c>
      <c r="K144" s="12">
        <f t="shared" si="11"/>
        <v>3</v>
      </c>
      <c r="L144" s="19" t="s">
        <v>114</v>
      </c>
      <c r="M144" s="18">
        <v>8.3531999999999993</v>
      </c>
      <c r="N144" s="18">
        <f t="shared" si="10"/>
        <v>25.059599999999996</v>
      </c>
      <c r="O144" s="12"/>
    </row>
    <row r="145" spans="1:15" ht="26.25" thickBot="1">
      <c r="A145" s="5"/>
      <c r="B145" s="10">
        <f t="shared" si="8"/>
        <v>143</v>
      </c>
      <c r="C145" s="14" t="s">
        <v>605</v>
      </c>
      <c r="D145" s="15" t="s">
        <v>606</v>
      </c>
      <c r="E145" s="16" t="s">
        <v>607</v>
      </c>
      <c r="F145" s="15" t="s">
        <v>608</v>
      </c>
      <c r="G145" s="16" t="s">
        <v>609</v>
      </c>
      <c r="H145" s="15" t="s">
        <v>610</v>
      </c>
      <c r="I145" s="16" t="s">
        <v>150</v>
      </c>
      <c r="J145" s="15">
        <v>1</v>
      </c>
      <c r="K145" s="12">
        <f t="shared" si="11"/>
        <v>3</v>
      </c>
      <c r="L145" s="19" t="s">
        <v>114</v>
      </c>
      <c r="M145" s="18">
        <v>0.63719999999999999</v>
      </c>
      <c r="N145" s="18">
        <f t="shared" si="10"/>
        <v>1.9116</v>
      </c>
      <c r="O145" s="15"/>
    </row>
    <row r="146" spans="1:15" ht="60.75" thickBot="1">
      <c r="A146" s="5"/>
      <c r="B146" s="10">
        <f>ROW(B146)-ROW($B$2)</f>
        <v>144</v>
      </c>
      <c r="C146" s="11" t="s">
        <v>548</v>
      </c>
      <c r="D146" s="12" t="s">
        <v>611</v>
      </c>
      <c r="E146" s="13" t="s">
        <v>612</v>
      </c>
      <c r="F146" s="12" t="s">
        <v>613</v>
      </c>
      <c r="G146" s="13" t="s">
        <v>614</v>
      </c>
      <c r="H146" s="12" t="s">
        <v>615</v>
      </c>
      <c r="I146" s="16" t="s">
        <v>150</v>
      </c>
      <c r="J146" s="12">
        <v>1</v>
      </c>
      <c r="K146" s="12">
        <f t="shared" si="11"/>
        <v>3</v>
      </c>
      <c r="L146" s="19" t="s">
        <v>114</v>
      </c>
      <c r="M146" s="18">
        <v>7.8799999999999995E-2</v>
      </c>
      <c r="N146" s="18">
        <f t="shared" si="10"/>
        <v>0.2364</v>
      </c>
      <c r="O146" s="12"/>
    </row>
    <row r="147" spans="1:15" ht="15.75" thickBot="1">
      <c r="A147" s="5"/>
      <c r="B147" s="10">
        <f t="shared" si="8"/>
        <v>145</v>
      </c>
      <c r="C147" s="14" t="s">
        <v>548</v>
      </c>
      <c r="D147" s="15" t="s">
        <v>616</v>
      </c>
      <c r="E147" s="16" t="s">
        <v>617</v>
      </c>
      <c r="F147" s="15" t="s">
        <v>618</v>
      </c>
      <c r="G147" s="16" t="s">
        <v>619</v>
      </c>
      <c r="H147" s="15" t="s">
        <v>620</v>
      </c>
      <c r="I147" s="16" t="s">
        <v>150</v>
      </c>
      <c r="J147" s="15">
        <v>1</v>
      </c>
      <c r="K147" s="12">
        <f t="shared" si="11"/>
        <v>3</v>
      </c>
      <c r="L147" s="19" t="s">
        <v>21</v>
      </c>
      <c r="M147" s="18">
        <v>4.4400000000000004</v>
      </c>
      <c r="N147" s="18">
        <f t="shared" si="10"/>
        <v>13.32</v>
      </c>
      <c r="O147" s="15"/>
    </row>
    <row r="148" spans="1:15" ht="24.75" thickBot="1">
      <c r="A148" s="5"/>
      <c r="B148" s="10">
        <f>ROW(B148)-ROW($B$2)</f>
        <v>146</v>
      </c>
      <c r="C148" s="11" t="s">
        <v>548</v>
      </c>
      <c r="D148" s="12" t="s">
        <v>621</v>
      </c>
      <c r="E148" s="13" t="s">
        <v>622</v>
      </c>
      <c r="F148" s="12" t="s">
        <v>623</v>
      </c>
      <c r="G148" s="13" t="s">
        <v>624</v>
      </c>
      <c r="H148" s="12" t="s">
        <v>556</v>
      </c>
      <c r="I148" s="16" t="s">
        <v>150</v>
      </c>
      <c r="J148" s="12">
        <v>1</v>
      </c>
      <c r="K148" s="12">
        <f t="shared" si="11"/>
        <v>3</v>
      </c>
      <c r="L148" s="19" t="s">
        <v>21</v>
      </c>
      <c r="M148" s="18">
        <v>0.78</v>
      </c>
      <c r="N148" s="18">
        <f t="shared" si="10"/>
        <v>2.34</v>
      </c>
      <c r="O148" s="12"/>
    </row>
    <row r="149" spans="1:15" ht="15.75" thickBot="1">
      <c r="A149" s="5"/>
      <c r="B149" s="10">
        <f t="shared" si="8"/>
        <v>147</v>
      </c>
      <c r="C149" s="14" t="s">
        <v>548</v>
      </c>
      <c r="D149" s="15" t="s">
        <v>625</v>
      </c>
      <c r="E149" s="16" t="s">
        <v>626</v>
      </c>
      <c r="F149" s="15" t="s">
        <v>627</v>
      </c>
      <c r="G149" s="16" t="s">
        <v>628</v>
      </c>
      <c r="H149" s="15" t="s">
        <v>629</v>
      </c>
      <c r="I149" s="16" t="s">
        <v>150</v>
      </c>
      <c r="J149" s="15">
        <v>2</v>
      </c>
      <c r="K149" s="12">
        <f t="shared" si="11"/>
        <v>6</v>
      </c>
      <c r="L149" s="19" t="s">
        <v>114</v>
      </c>
      <c r="M149" s="18">
        <v>0.99080000000000001</v>
      </c>
      <c r="N149" s="18">
        <f t="shared" si="10"/>
        <v>5.9447999999999999</v>
      </c>
      <c r="O149" s="15"/>
    </row>
    <row r="150" spans="1:15" ht="24.75" thickBot="1">
      <c r="A150" s="5"/>
      <c r="B150" s="10">
        <f>ROW(B150)-ROW($B$2)</f>
        <v>148</v>
      </c>
      <c r="C150" s="14" t="s">
        <v>548</v>
      </c>
      <c r="D150" s="15" t="s">
        <v>630</v>
      </c>
      <c r="E150" s="16" t="s">
        <v>631</v>
      </c>
      <c r="F150" s="12" t="s">
        <v>111</v>
      </c>
      <c r="G150" s="16" t="s">
        <v>632</v>
      </c>
      <c r="H150" s="15" t="s">
        <v>633</v>
      </c>
      <c r="I150" s="16" t="s">
        <v>150</v>
      </c>
      <c r="J150" s="15">
        <v>1</v>
      </c>
      <c r="K150" s="12">
        <f t="shared" si="11"/>
        <v>3</v>
      </c>
      <c r="L150" s="19" t="s">
        <v>21</v>
      </c>
      <c r="M150" s="18">
        <v>0.56000000000000005</v>
      </c>
      <c r="N150" s="18">
        <f t="shared" si="10"/>
        <v>1.6800000000000002</v>
      </c>
      <c r="O150" s="15"/>
    </row>
    <row r="151" spans="1:15" ht="15.75" thickBot="1">
      <c r="A151" s="5"/>
      <c r="B151" s="10">
        <f>ROW(B151)-ROW($B$2)</f>
        <v>149</v>
      </c>
      <c r="C151" s="11" t="s">
        <v>548</v>
      </c>
      <c r="D151" s="12" t="s">
        <v>634</v>
      </c>
      <c r="E151" s="12" t="s">
        <v>635</v>
      </c>
      <c r="F151" s="12" t="s">
        <v>636</v>
      </c>
      <c r="G151" s="12" t="s">
        <v>637</v>
      </c>
      <c r="H151" s="12" t="s">
        <v>638</v>
      </c>
      <c r="I151" s="16" t="s">
        <v>150</v>
      </c>
      <c r="J151" s="15">
        <v>1</v>
      </c>
      <c r="K151" s="12">
        <f t="shared" si="11"/>
        <v>3</v>
      </c>
      <c r="L151" s="19" t="s">
        <v>21</v>
      </c>
      <c r="M151" s="18">
        <v>2.89</v>
      </c>
      <c r="N151" s="18">
        <f t="shared" si="10"/>
        <v>8.67</v>
      </c>
      <c r="O151" s="15"/>
    </row>
    <row r="152" spans="1:15" ht="24.75" thickBot="1">
      <c r="A152" s="5"/>
      <c r="B152" s="10">
        <f t="shared" si="8"/>
        <v>150</v>
      </c>
      <c r="C152" s="14" t="s">
        <v>548</v>
      </c>
      <c r="D152" s="15" t="s">
        <v>639</v>
      </c>
      <c r="E152" s="16" t="s">
        <v>640</v>
      </c>
      <c r="F152" s="15" t="s">
        <v>641</v>
      </c>
      <c r="G152" s="16" t="s">
        <v>642</v>
      </c>
      <c r="H152" s="15" t="s">
        <v>643</v>
      </c>
      <c r="I152" s="16" t="s">
        <v>150</v>
      </c>
      <c r="J152" s="15">
        <v>1</v>
      </c>
      <c r="K152" s="12">
        <f t="shared" si="11"/>
        <v>3</v>
      </c>
      <c r="L152" s="19" t="s">
        <v>21</v>
      </c>
      <c r="M152" s="18">
        <v>1.35</v>
      </c>
      <c r="N152" s="18">
        <f t="shared" si="10"/>
        <v>4.0500000000000007</v>
      </c>
      <c r="O152" s="15"/>
    </row>
    <row r="153" spans="1:15" ht="24.75" thickBot="1">
      <c r="A153" s="5"/>
      <c r="B153" s="10">
        <f>ROW(B153)-ROW($B$2)</f>
        <v>151</v>
      </c>
      <c r="C153" s="11" t="s">
        <v>548</v>
      </c>
      <c r="D153" s="12" t="s">
        <v>644</v>
      </c>
      <c r="E153" s="13" t="s">
        <v>645</v>
      </c>
      <c r="F153" s="12" t="s">
        <v>646</v>
      </c>
      <c r="G153" s="13" t="s">
        <v>647</v>
      </c>
      <c r="H153" s="12" t="s">
        <v>556</v>
      </c>
      <c r="I153" s="16" t="s">
        <v>150</v>
      </c>
      <c r="J153" s="12">
        <v>1</v>
      </c>
      <c r="K153" s="12">
        <f t="shared" si="11"/>
        <v>3</v>
      </c>
      <c r="L153" s="19" t="s">
        <v>21</v>
      </c>
      <c r="M153" s="18">
        <v>2.13</v>
      </c>
      <c r="N153" s="18">
        <f t="shared" si="10"/>
        <v>6.39</v>
      </c>
      <c r="O153" s="12"/>
    </row>
    <row r="154" spans="1:15" ht="15.75" thickBot="1">
      <c r="A154" s="5"/>
      <c r="B154" s="10">
        <f t="shared" si="8"/>
        <v>152</v>
      </c>
      <c r="C154" s="14" t="s">
        <v>548</v>
      </c>
      <c r="D154" s="15" t="s">
        <v>648</v>
      </c>
      <c r="E154" s="16" t="s">
        <v>649</v>
      </c>
      <c r="F154" s="15" t="s">
        <v>111</v>
      </c>
      <c r="G154" s="16" t="s">
        <v>650</v>
      </c>
      <c r="H154" s="15" t="s">
        <v>651</v>
      </c>
      <c r="I154" s="16" t="s">
        <v>150</v>
      </c>
      <c r="J154" s="15">
        <v>1</v>
      </c>
      <c r="K154" s="12">
        <f t="shared" si="11"/>
        <v>3</v>
      </c>
      <c r="L154" s="19" t="s">
        <v>21</v>
      </c>
      <c r="M154" s="18">
        <v>0.15684999999999999</v>
      </c>
      <c r="N154" s="18">
        <f t="shared" si="10"/>
        <v>0.47054999999999997</v>
      </c>
      <c r="O154" s="15"/>
    </row>
    <row r="155" spans="1:15" ht="15.75" thickBot="1">
      <c r="A155" s="5"/>
      <c r="B155" s="10">
        <f>ROW(B155)-ROW($B$2)</f>
        <v>153</v>
      </c>
      <c r="C155" s="11" t="s">
        <v>548</v>
      </c>
      <c r="D155" s="12" t="s">
        <v>652</v>
      </c>
      <c r="E155" s="13" t="s">
        <v>653</v>
      </c>
      <c r="F155" s="12" t="s">
        <v>654</v>
      </c>
      <c r="G155" s="13" t="s">
        <v>655</v>
      </c>
      <c r="H155" s="12" t="s">
        <v>656</v>
      </c>
      <c r="I155" s="16" t="s">
        <v>150</v>
      </c>
      <c r="J155" s="12">
        <v>1</v>
      </c>
      <c r="K155" s="12">
        <f t="shared" si="11"/>
        <v>3</v>
      </c>
      <c r="L155" s="19" t="s">
        <v>21</v>
      </c>
      <c r="M155" s="18">
        <v>0.36</v>
      </c>
      <c r="N155" s="18">
        <f t="shared" si="10"/>
        <v>1.08</v>
      </c>
      <c r="O155" s="12"/>
    </row>
    <row r="156" spans="1:15" ht="24.75" thickBot="1">
      <c r="A156" s="5"/>
      <c r="B156" s="10">
        <f t="shared" si="8"/>
        <v>154</v>
      </c>
      <c r="C156" s="14" t="s">
        <v>548</v>
      </c>
      <c r="D156" s="15" t="s">
        <v>657</v>
      </c>
      <c r="E156" s="16" t="s">
        <v>658</v>
      </c>
      <c r="F156" s="15" t="s">
        <v>659</v>
      </c>
      <c r="G156" s="16" t="s">
        <v>660</v>
      </c>
      <c r="H156" s="15" t="s">
        <v>661</v>
      </c>
      <c r="I156" s="16" t="s">
        <v>150</v>
      </c>
      <c r="J156" s="15">
        <v>1</v>
      </c>
      <c r="K156" s="12">
        <f t="shared" si="11"/>
        <v>3</v>
      </c>
      <c r="L156" s="19" t="s">
        <v>114</v>
      </c>
      <c r="M156" s="18">
        <v>0.34460000000000002</v>
      </c>
      <c r="N156" s="18">
        <f t="shared" si="10"/>
        <v>1.0338000000000001</v>
      </c>
      <c r="O156" s="15"/>
    </row>
    <row r="157" spans="1:15" ht="36.75" thickBot="1">
      <c r="A157" s="5"/>
      <c r="B157" s="10">
        <f>ROW(B157)-ROW($B$2)</f>
        <v>155</v>
      </c>
      <c r="C157" s="11" t="s">
        <v>548</v>
      </c>
      <c r="D157" s="12" t="s">
        <v>662</v>
      </c>
      <c r="E157" s="13" t="s">
        <v>663</v>
      </c>
      <c r="F157" s="12" t="s">
        <v>664</v>
      </c>
      <c r="G157" s="13" t="s">
        <v>665</v>
      </c>
      <c r="H157" s="12" t="s">
        <v>666</v>
      </c>
      <c r="I157" s="16" t="s">
        <v>150</v>
      </c>
      <c r="J157" s="12">
        <v>1</v>
      </c>
      <c r="K157" s="12">
        <f t="shared" si="11"/>
        <v>3</v>
      </c>
      <c r="L157" s="19" t="s">
        <v>21</v>
      </c>
      <c r="M157" s="18">
        <v>0.94</v>
      </c>
      <c r="N157" s="18">
        <f t="shared" si="10"/>
        <v>2.82</v>
      </c>
      <c r="O157" s="12"/>
    </row>
    <row r="158" spans="1:15" ht="36.75" thickBot="1">
      <c r="A158" s="5"/>
      <c r="B158" s="10">
        <f t="shared" si="8"/>
        <v>156</v>
      </c>
      <c r="C158" s="14" t="s">
        <v>667</v>
      </c>
      <c r="D158" s="15" t="s">
        <v>668</v>
      </c>
      <c r="E158" s="16" t="s">
        <v>669</v>
      </c>
      <c r="F158" s="15" t="s">
        <v>111</v>
      </c>
      <c r="G158" s="16" t="s">
        <v>670</v>
      </c>
      <c r="H158" s="15" t="s">
        <v>671</v>
      </c>
      <c r="I158" s="16" t="s">
        <v>672</v>
      </c>
      <c r="J158" s="15">
        <v>1</v>
      </c>
      <c r="K158" s="12">
        <f t="shared" si="11"/>
        <v>3</v>
      </c>
      <c r="L158" s="19" t="s">
        <v>21</v>
      </c>
      <c r="M158" s="18">
        <v>0.28784999999999999</v>
      </c>
      <c r="N158" s="18">
        <f t="shared" si="10"/>
        <v>0.86355000000000004</v>
      </c>
      <c r="O158" s="15"/>
    </row>
    <row r="159" spans="1:15" ht="15.75" thickBot="1">
      <c r="A159" s="5"/>
      <c r="B159" s="10">
        <f>ROW(B159)-ROW($B$2)</f>
        <v>157</v>
      </c>
      <c r="C159" s="11" t="s">
        <v>667</v>
      </c>
      <c r="D159" s="12" t="s">
        <v>673</v>
      </c>
      <c r="E159" s="13" t="s">
        <v>674</v>
      </c>
      <c r="F159" s="15" t="s">
        <v>111</v>
      </c>
      <c r="G159" s="13" t="s">
        <v>675</v>
      </c>
      <c r="H159" s="12" t="s">
        <v>676</v>
      </c>
      <c r="I159" s="13" t="s">
        <v>677</v>
      </c>
      <c r="J159" s="12">
        <v>2</v>
      </c>
      <c r="K159" s="12">
        <f t="shared" si="11"/>
        <v>6</v>
      </c>
      <c r="L159" s="19" t="s">
        <v>21</v>
      </c>
      <c r="M159" s="18">
        <v>0.80600000000000005</v>
      </c>
      <c r="N159" s="18">
        <f t="shared" si="10"/>
        <v>4.8360000000000003</v>
      </c>
      <c r="O159" s="12"/>
    </row>
    <row r="160" spans="1:15" ht="24.75" thickBot="1">
      <c r="B160" s="10">
        <f t="shared" ref="B160:B166" si="12">ROW(B160)-ROW($B$2)</f>
        <v>158</v>
      </c>
      <c r="C160" s="11" t="s">
        <v>678</v>
      </c>
      <c r="D160" s="12" t="s">
        <v>679</v>
      </c>
      <c r="E160" s="13" t="s">
        <v>711</v>
      </c>
      <c r="F160" s="15" t="s">
        <v>111</v>
      </c>
      <c r="G160" s="13" t="s">
        <v>712</v>
      </c>
      <c r="H160" s="12" t="s">
        <v>249</v>
      </c>
      <c r="I160" s="13"/>
      <c r="J160" s="12">
        <v>1</v>
      </c>
      <c r="K160" s="12">
        <f t="shared" si="11"/>
        <v>3</v>
      </c>
      <c r="L160" s="19" t="s">
        <v>114</v>
      </c>
      <c r="M160" s="18">
        <v>1.0093000000000001</v>
      </c>
      <c r="N160" s="18">
        <f>M160*K160</f>
        <v>3.0279000000000003</v>
      </c>
      <c r="O160" s="12"/>
    </row>
    <row r="161" spans="2:19" ht="36.75" thickBot="1">
      <c r="B161" s="10">
        <f t="shared" si="12"/>
        <v>159</v>
      </c>
      <c r="C161" s="11" t="s">
        <v>678</v>
      </c>
      <c r="D161" s="12" t="s">
        <v>680</v>
      </c>
      <c r="E161" s="13" t="s">
        <v>681</v>
      </c>
      <c r="F161" s="15" t="s">
        <v>150</v>
      </c>
      <c r="G161" s="13" t="s">
        <v>682</v>
      </c>
      <c r="H161" s="12" t="s">
        <v>249</v>
      </c>
      <c r="I161" s="13" t="s">
        <v>150</v>
      </c>
      <c r="J161" s="12">
        <v>1</v>
      </c>
      <c r="K161" s="12">
        <v>3</v>
      </c>
      <c r="L161" s="17" t="s">
        <v>114</v>
      </c>
      <c r="M161" s="18">
        <v>0.43</v>
      </c>
      <c r="N161" s="18">
        <f>M161*K161</f>
        <v>1.29</v>
      </c>
      <c r="O161" s="12"/>
    </row>
    <row r="162" spans="2:19" ht="30.75" thickBot="1">
      <c r="B162" s="10">
        <f t="shared" si="12"/>
        <v>160</v>
      </c>
      <c r="C162" s="11" t="s">
        <v>678</v>
      </c>
      <c r="D162" s="12" t="s">
        <v>683</v>
      </c>
      <c r="E162" s="13" t="s">
        <v>684</v>
      </c>
      <c r="F162" s="15" t="s">
        <v>150</v>
      </c>
      <c r="G162" s="13" t="s">
        <v>150</v>
      </c>
      <c r="H162" s="12" t="s">
        <v>685</v>
      </c>
      <c r="I162" s="13" t="s">
        <v>150</v>
      </c>
      <c r="J162" s="12">
        <v>1</v>
      </c>
      <c r="K162" s="12">
        <v>3</v>
      </c>
      <c r="L162" s="19" t="s">
        <v>686</v>
      </c>
      <c r="M162" s="18">
        <v>9.8699999999999992</v>
      </c>
      <c r="N162" s="18">
        <f>M162*K162</f>
        <v>29.61</v>
      </c>
      <c r="O162" s="12"/>
    </row>
    <row r="163" spans="2:19" ht="15.75" thickBot="1">
      <c r="B163" s="10">
        <f t="shared" si="12"/>
        <v>161</v>
      </c>
      <c r="C163" s="11" t="s">
        <v>678</v>
      </c>
      <c r="D163" s="12" t="s">
        <v>687</v>
      </c>
      <c r="E163" s="13" t="s">
        <v>688</v>
      </c>
      <c r="F163" s="15" t="s">
        <v>150</v>
      </c>
      <c r="G163" s="13" t="s">
        <v>689</v>
      </c>
      <c r="H163" s="12" t="s">
        <v>690</v>
      </c>
      <c r="I163" s="13" t="s">
        <v>150</v>
      </c>
      <c r="J163" s="12">
        <v>1</v>
      </c>
      <c r="K163" s="12">
        <v>3</v>
      </c>
      <c r="L163" s="19" t="s">
        <v>691</v>
      </c>
      <c r="M163" s="18">
        <v>99</v>
      </c>
      <c r="N163" s="18">
        <f>M163*K163</f>
        <v>297</v>
      </c>
      <c r="O163" s="12"/>
    </row>
    <row r="164" spans="2:19" ht="24.75" thickBot="1">
      <c r="B164" s="10">
        <f t="shared" si="12"/>
        <v>162</v>
      </c>
      <c r="C164" s="11" t="s">
        <v>678</v>
      </c>
      <c r="D164" s="12" t="s">
        <v>150</v>
      </c>
      <c r="E164" s="13" t="s">
        <v>692</v>
      </c>
      <c r="F164" s="15"/>
      <c r="G164" s="13" t="s">
        <v>693</v>
      </c>
      <c r="H164" s="12" t="s">
        <v>694</v>
      </c>
      <c r="I164" s="13"/>
      <c r="J164" s="12"/>
      <c r="K164" s="12"/>
      <c r="L164" s="17" t="s">
        <v>694</v>
      </c>
      <c r="M164" s="18"/>
      <c r="N164" s="18"/>
      <c r="O164" s="12"/>
    </row>
    <row r="165" spans="2:19" ht="24.75" thickBot="1">
      <c r="B165" s="10">
        <f t="shared" si="12"/>
        <v>163</v>
      </c>
      <c r="C165" s="11" t="s">
        <v>678</v>
      </c>
      <c r="D165" s="12" t="s">
        <v>150</v>
      </c>
      <c r="E165" s="13" t="s">
        <v>695</v>
      </c>
      <c r="F165" s="15"/>
      <c r="G165" s="13" t="s">
        <v>696</v>
      </c>
      <c r="H165" s="12" t="s">
        <v>697</v>
      </c>
      <c r="I165" s="13"/>
      <c r="J165" s="12"/>
      <c r="K165" s="12"/>
      <c r="L165" s="17" t="s">
        <v>697</v>
      </c>
      <c r="M165" s="18"/>
      <c r="N165" s="18"/>
      <c r="O165" s="12"/>
    </row>
    <row r="166" spans="2:19" s="3" customFormat="1" ht="24.75" thickBot="1">
      <c r="B166" s="10">
        <f t="shared" si="12"/>
        <v>164</v>
      </c>
      <c r="C166" s="11" t="s">
        <v>678</v>
      </c>
      <c r="D166" s="12" t="s">
        <v>150</v>
      </c>
      <c r="E166" s="13" t="s">
        <v>698</v>
      </c>
      <c r="F166" s="15"/>
      <c r="G166" s="13" t="s">
        <v>699</v>
      </c>
      <c r="H166" s="12" t="s">
        <v>700</v>
      </c>
      <c r="I166" s="13"/>
      <c r="J166" s="12"/>
      <c r="K166" s="12"/>
      <c r="L166" s="17" t="s">
        <v>701</v>
      </c>
      <c r="M166" s="41"/>
      <c r="N166" s="41"/>
      <c r="O166" s="12"/>
      <c r="Q166"/>
      <c r="R166"/>
      <c r="S166"/>
    </row>
    <row r="167" spans="2:19">
      <c r="M167" s="42" t="s">
        <v>702</v>
      </c>
      <c r="N167" s="43">
        <f>SUM(N3:N166)</f>
        <v>779.40039000000013</v>
      </c>
    </row>
    <row r="168" spans="2:19" ht="15.75" thickBot="1">
      <c r="M168" s="44" t="s">
        <v>703</v>
      </c>
      <c r="N168" s="45">
        <f>N167/3</f>
        <v>259.80013000000002</v>
      </c>
    </row>
  </sheetData>
  <mergeCells count="1">
    <mergeCell ref="I1:O1"/>
  </mergeCells>
  <hyperlinks>
    <hyperlink ref="L3" r:id="rId1"/>
    <hyperlink ref="L4" r:id="rId2"/>
    <hyperlink ref="L5" r:id="rId3"/>
    <hyperlink ref="L6" r:id="rId4"/>
    <hyperlink ref="L7" r:id="rId5"/>
    <hyperlink ref="L8" r:id="rId6"/>
    <hyperlink ref="L9" r:id="rId7"/>
    <hyperlink ref="L10" r:id="rId8"/>
    <hyperlink ref="L11" r:id="rId9"/>
    <hyperlink ref="L12" r:id="rId10"/>
    <hyperlink ref="L13" r:id="rId11"/>
    <hyperlink ref="L14" r:id="rId12"/>
    <hyperlink ref="L15" r:id="rId13"/>
    <hyperlink ref="L16" r:id="rId14"/>
    <hyperlink ref="L17" r:id="rId15"/>
    <hyperlink ref="L18" r:id="rId16"/>
    <hyperlink ref="L19" r:id="rId17"/>
    <hyperlink ref="L20" r:id="rId18"/>
    <hyperlink ref="L21" r:id="rId19"/>
    <hyperlink ref="L22" r:id="rId20"/>
    <hyperlink ref="L23" r:id="rId21"/>
    <hyperlink ref="L24" r:id="rId22"/>
    <hyperlink ref="L26" r:id="rId23"/>
    <hyperlink ref="L27" r:id="rId24"/>
    <hyperlink ref="L28" r:id="rId25"/>
    <hyperlink ref="L29" r:id="rId26"/>
    <hyperlink ref="L30" r:id="rId27"/>
    <hyperlink ref="L31" r:id="rId28"/>
    <hyperlink ref="L32" r:id="rId29"/>
    <hyperlink ref="L33" r:id="rId30"/>
    <hyperlink ref="L36" r:id="rId31"/>
    <hyperlink ref="L37" r:id="rId32"/>
    <hyperlink ref="L38" r:id="rId33"/>
    <hyperlink ref="L42" r:id="rId34"/>
    <hyperlink ref="L43" r:id="rId35"/>
    <hyperlink ref="L45" r:id="rId36"/>
    <hyperlink ref="L46" r:id="rId37"/>
    <hyperlink ref="L47" r:id="rId38"/>
    <hyperlink ref="L50" r:id="rId39"/>
    <hyperlink ref="L60" r:id="rId40"/>
    <hyperlink ref="L61" r:id="rId41"/>
    <hyperlink ref="L67" r:id="rId42"/>
    <hyperlink ref="L70" r:id="rId43"/>
    <hyperlink ref="L72" r:id="rId44"/>
    <hyperlink ref="L73" r:id="rId45"/>
    <hyperlink ref="L78" r:id="rId46"/>
    <hyperlink ref="L79" r:id="rId47"/>
    <hyperlink ref="L80" r:id="rId48"/>
    <hyperlink ref="L82" r:id="rId49"/>
    <hyperlink ref="L84" r:id="rId50"/>
    <hyperlink ref="L86" r:id="rId51"/>
    <hyperlink ref="L25" r:id="rId52"/>
    <hyperlink ref="L34" r:id="rId53"/>
    <hyperlink ref="L35" r:id="rId54"/>
    <hyperlink ref="L39" r:id="rId55"/>
    <hyperlink ref="L40" r:id="rId56"/>
    <hyperlink ref="L41" r:id="rId57"/>
    <hyperlink ref="L44" r:id="rId58"/>
    <hyperlink ref="L48" r:id="rId59"/>
    <hyperlink ref="L49" r:id="rId60"/>
    <hyperlink ref="L51" r:id="rId61"/>
    <hyperlink ref="L52" r:id="rId62"/>
    <hyperlink ref="L53" r:id="rId63"/>
    <hyperlink ref="L54" r:id="rId64"/>
    <hyperlink ref="L55" r:id="rId65"/>
    <hyperlink ref="L57" r:id="rId66"/>
    <hyperlink ref="L58" r:id="rId67"/>
    <hyperlink ref="L59" r:id="rId68"/>
    <hyperlink ref="L62" r:id="rId69"/>
    <hyperlink ref="L63" r:id="rId70"/>
    <hyperlink ref="L64" r:id="rId71"/>
    <hyperlink ref="L65" r:id="rId72"/>
    <hyperlink ref="L66" r:id="rId73"/>
    <hyperlink ref="L68" r:id="rId74"/>
    <hyperlink ref="L69" r:id="rId75"/>
    <hyperlink ref="L74" r:id="rId76"/>
    <hyperlink ref="L75" r:id="rId77"/>
    <hyperlink ref="L76" r:id="rId78"/>
    <hyperlink ref="L77" r:id="rId79"/>
    <hyperlink ref="L81" r:id="rId80"/>
    <hyperlink ref="L83" r:id="rId81"/>
    <hyperlink ref="L85" r:id="rId82"/>
    <hyperlink ref="L88" r:id="rId83"/>
    <hyperlink ref="L87" r:id="rId84"/>
    <hyperlink ref="L89" r:id="rId85"/>
    <hyperlink ref="L90" r:id="rId86"/>
    <hyperlink ref="L91" r:id="rId87"/>
    <hyperlink ref="L92" r:id="rId88"/>
    <hyperlink ref="L93" r:id="rId89"/>
    <hyperlink ref="L95" r:id="rId90"/>
    <hyperlink ref="L96" r:id="rId91"/>
    <hyperlink ref="L97" r:id="rId92"/>
    <hyperlink ref="L98" r:id="rId93"/>
    <hyperlink ref="L99" r:id="rId94"/>
    <hyperlink ref="L100" r:id="rId95"/>
    <hyperlink ref="L101" r:id="rId96"/>
    <hyperlink ref="L102" r:id="rId97"/>
    <hyperlink ref="L103" r:id="rId98"/>
    <hyperlink ref="L104" r:id="rId99"/>
    <hyperlink ref="L105" r:id="rId100"/>
    <hyperlink ref="L106" r:id="rId101"/>
    <hyperlink ref="L108" r:id="rId102"/>
    <hyperlink ref="L109" r:id="rId103"/>
    <hyperlink ref="L111" r:id="rId104"/>
    <hyperlink ref="L112" r:id="rId105"/>
    <hyperlink ref="L113" r:id="rId106"/>
    <hyperlink ref="L114" r:id="rId107"/>
    <hyperlink ref="L115" r:id="rId108"/>
    <hyperlink ref="L116" r:id="rId109"/>
    <hyperlink ref="L117" r:id="rId110"/>
    <hyperlink ref="L118" r:id="rId111"/>
    <hyperlink ref="L119" r:id="rId112"/>
    <hyperlink ref="L120" r:id="rId113"/>
    <hyperlink ref="L122" r:id="rId114"/>
    <hyperlink ref="L123" r:id="rId115"/>
    <hyperlink ref="L124" r:id="rId116"/>
    <hyperlink ref="L125" r:id="rId117"/>
    <hyperlink ref="L126" r:id="rId118"/>
    <hyperlink ref="L127" r:id="rId119"/>
    <hyperlink ref="L128" r:id="rId120"/>
    <hyperlink ref="L129" r:id="rId121"/>
    <hyperlink ref="L130" r:id="rId122"/>
    <hyperlink ref="L131" r:id="rId123"/>
    <hyperlink ref="L132" r:id="rId124"/>
    <hyperlink ref="L134" r:id="rId125"/>
    <hyperlink ref="L135" r:id="rId126"/>
    <hyperlink ref="L136" r:id="rId127"/>
    <hyperlink ref="L137" r:id="rId128"/>
    <hyperlink ref="L138" r:id="rId129"/>
    <hyperlink ref="L139" r:id="rId130"/>
    <hyperlink ref="L140" r:id="rId131"/>
    <hyperlink ref="L141" r:id="rId132"/>
    <hyperlink ref="L142" r:id="rId133"/>
    <hyperlink ref="L143" r:id="rId134"/>
    <hyperlink ref="L144" r:id="rId135"/>
    <hyperlink ref="L145" r:id="rId136"/>
    <hyperlink ref="L146" r:id="rId137"/>
    <hyperlink ref="L147" r:id="rId138"/>
    <hyperlink ref="L148" r:id="rId139"/>
    <hyperlink ref="L149" r:id="rId140"/>
    <hyperlink ref="L150" r:id="rId141"/>
    <hyperlink ref="L151" r:id="rId142"/>
    <hyperlink ref="L152" r:id="rId143"/>
    <hyperlink ref="L153" r:id="rId144"/>
    <hyperlink ref="L154" r:id="rId145"/>
    <hyperlink ref="L155" r:id="rId146"/>
    <hyperlink ref="L156" r:id="rId147"/>
    <hyperlink ref="L157" r:id="rId148"/>
    <hyperlink ref="L158" r:id="rId149"/>
    <hyperlink ref="L159" r:id="rId150"/>
    <hyperlink ref="L165" r:id="rId151"/>
    <hyperlink ref="L164" r:id="rId152"/>
    <hyperlink ref="L166" r:id="rId153"/>
    <hyperlink ref="L162" r:id="rId154"/>
    <hyperlink ref="L161" r:id="rId155"/>
    <hyperlink ref="L56" r:id="rId156"/>
    <hyperlink ref="L71" r:id="rId157"/>
    <hyperlink ref="L133" r:id="rId158"/>
    <hyperlink ref="L160" r:id="rId159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2019-12-12T10:34:00Z</dcterms:created>
  <dcterms:modified xsi:type="dcterms:W3CDTF">2024-05-16T16:45:36Z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8910AD1C3D24427D9A15006768C13C4D_12</vt:lpwstr>
  </property>
  <property fmtid="{D5CDD505-2E9C-101B-9397-08002B2CF9AE}" pid="3" name="KSOProductBuildVer">
    <vt:lpwstr>2057-12.2.0.16731</vt:lpwstr>
  </property>
</Properties>
</file>