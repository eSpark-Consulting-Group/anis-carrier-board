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N4" i="1" l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3" i="1"/>
  <c r="N94" i="1"/>
  <c r="N95" i="1"/>
  <c r="N96" i="1"/>
  <c r="N97" i="1"/>
  <c r="N98" i="1"/>
  <c r="N99" i="1"/>
  <c r="N100" i="1"/>
  <c r="N101" i="1"/>
  <c r="N102" i="1"/>
  <c r="N103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64" i="1" s="1"/>
  <c r="N156" i="1"/>
  <c r="N157" i="1"/>
  <c r="N158" i="1"/>
  <c r="N159" i="1"/>
  <c r="N160" i="1"/>
  <c r="N161" i="1"/>
  <c r="N162" i="1"/>
  <c r="N163" i="1"/>
  <c r="N3" i="1"/>
  <c r="N165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3" i="1"/>
  <c r="B163" i="1" l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<sst xmlns="http://schemas.openxmlformats.org/spreadsheetml/2006/main" count="1432" uniqueCount="789">
  <si>
    <t>#</t>
  </si>
  <si>
    <t>Item Type</t>
  </si>
  <si>
    <t>Antenna</t>
  </si>
  <si>
    <t>Capacitor</t>
  </si>
  <si>
    <t>Diode</t>
  </si>
  <si>
    <t>(TVS/ESD)</t>
  </si>
  <si>
    <t>Fuse</t>
  </si>
  <si>
    <t>Ferrite Bead</t>
  </si>
  <si>
    <t>IC</t>
  </si>
  <si>
    <t>SD Card Connector</t>
  </si>
  <si>
    <t>HDMI Connector</t>
  </si>
  <si>
    <t>Terminal Block</t>
  </si>
  <si>
    <t>Type-A USB Connector</t>
  </si>
  <si>
    <t>Type-A Connector</t>
  </si>
  <si>
    <t>DC JACK</t>
  </si>
  <si>
    <t>Coaxial Connector</t>
  </si>
  <si>
    <t>Pogo Connector</t>
  </si>
  <si>
    <t>SIM Card Connectors</t>
  </si>
  <si>
    <t>USB Connector</t>
  </si>
  <si>
    <t>Connectors (RJ45 RJ11)</t>
  </si>
  <si>
    <t>Audio Connector</t>
  </si>
  <si>
    <t>FFC/FPC Connector</t>
  </si>
  <si>
    <t>Relay</t>
  </si>
  <si>
    <t>Inductor</t>
  </si>
  <si>
    <t>LED</t>
  </si>
  <si>
    <t>RGB  LED</t>
  </si>
  <si>
    <t>Mosfet</t>
  </si>
  <si>
    <t>Transistor</t>
  </si>
  <si>
    <t>MOSFET</t>
  </si>
  <si>
    <t>Resistor</t>
  </si>
  <si>
    <t>Resistor Array</t>
  </si>
  <si>
    <t>TRANSFORMER</t>
  </si>
  <si>
    <t>TEST POINT</t>
  </si>
  <si>
    <t>Module</t>
  </si>
  <si>
    <t>ESD Diode</t>
  </si>
  <si>
    <t>Temperature &amp; Humidity Sensor</t>
  </si>
  <si>
    <t>Crystal</t>
  </si>
  <si>
    <t>Designator</t>
  </si>
  <si>
    <t>ANT2</t>
  </si>
  <si>
    <t>C1, C3, C4, C6, C7, C8, C9, C11, C12, C13, C14, C15, C16, C17, C18, C21, C22, C23, C27, C30, C34, C55, C65, C66, C67, C70, C71, C72, C73, C74, C75, C76, C78, C81, C84, C85, C88, C89, C91, C92, C93, C94, C95, C96, C97, C98, C100, C101, C103, C104, C106, C107, C109, C110, C111, C113, C114, C116, C118, C119, C120, C122, C129, C131, C133, C134, C135, C136, C137, C141, C145, C147, C148, C149, C151, C152, C153, C154, C155, C158, C161, C163, C166, C167, C168, C169, C180, C181, C182, C183, C184, C185, C186, C187, C188, C189, C190, C191, C192</t>
  </si>
  <si>
    <t>C2</t>
  </si>
  <si>
    <t>C5, C10, C24, C31</t>
  </si>
  <si>
    <t>C19, C25, C28, C32</t>
  </si>
  <si>
    <t>C20, C26, C29, C33</t>
  </si>
  <si>
    <t>C35, C36, C38</t>
  </si>
  <si>
    <t>C37, C68, C80</t>
  </si>
  <si>
    <t>C39, C40, C42, C43, C46, C50, C52, C53, C57, C125, C142, C177, C179</t>
  </si>
  <si>
    <t>C41, C51, C176, C178</t>
  </si>
  <si>
    <t>C44, C45, C54, C56</t>
  </si>
  <si>
    <t>C47, C59</t>
  </si>
  <si>
    <t>C48, C60</t>
  </si>
  <si>
    <t>C49, C61</t>
  </si>
  <si>
    <t>C58, C77</t>
  </si>
  <si>
    <t>C62</t>
  </si>
  <si>
    <t>C63</t>
  </si>
  <si>
    <t>C64</t>
  </si>
  <si>
    <t>C69, C174</t>
  </si>
  <si>
    <t>C79</t>
  </si>
  <si>
    <t>C82, C83</t>
  </si>
  <si>
    <t>C86, C87, C90, C99, C102, C105, C108, C112, C156, C157, C160, C162, C164</t>
  </si>
  <si>
    <t>C115, C117, C121, C123, C132, C140, C144, C146, C150</t>
  </si>
  <si>
    <t>C124, C126, C130, C143</t>
  </si>
  <si>
    <t>C127, C128, C138, C139</t>
  </si>
  <si>
    <t>C159</t>
  </si>
  <si>
    <t>C165</t>
  </si>
  <si>
    <t>C170, C171</t>
  </si>
  <si>
    <t>C172, C173</t>
  </si>
  <si>
    <t>C175</t>
  </si>
  <si>
    <t>D1, D2, D3, D4, D7, D8, D9, D10, D11, D12, D13, D14, D22, D23, D24, D25, D48, D49, D50, D51, D53, D54, D55, D56, D57, D61</t>
  </si>
  <si>
    <t>D5, D6</t>
  </si>
  <si>
    <t>D15</t>
  </si>
  <si>
    <t>D16, D58, D59, D60</t>
  </si>
  <si>
    <t>D17</t>
  </si>
  <si>
    <t>D18, D26, D27, D28, D29, D30, D31, D32, D33, D34, D35, D36, D37, D38, D39, D40, D41, D42, D43, D44, D45</t>
  </si>
  <si>
    <t>D19</t>
  </si>
  <si>
    <t>D20, D21</t>
  </si>
  <si>
    <t>D46, D47</t>
  </si>
  <si>
    <t>D52</t>
  </si>
  <si>
    <t>F1</t>
  </si>
  <si>
    <t>F2</t>
  </si>
  <si>
    <t>FB1</t>
  </si>
  <si>
    <t>FB2, FB3, FB4</t>
  </si>
  <si>
    <t>IC1</t>
  </si>
  <si>
    <t>J1</t>
  </si>
  <si>
    <t>J1 Part-, J29</t>
  </si>
  <si>
    <t>J2</t>
  </si>
  <si>
    <t>J3, J4</t>
  </si>
  <si>
    <t>J5</t>
  </si>
  <si>
    <t>J6</t>
  </si>
  <si>
    <t>J7</t>
  </si>
  <si>
    <t>J8</t>
  </si>
  <si>
    <t>J9</t>
  </si>
  <si>
    <t>J10, J11</t>
  </si>
  <si>
    <t>J12, J13, J14, J15, J16, J17, J18</t>
  </si>
  <si>
    <t>J19</t>
  </si>
  <si>
    <t>J20, J23</t>
  </si>
  <si>
    <t>J21, J24</t>
  </si>
  <si>
    <t>J22</t>
  </si>
  <si>
    <t>J25</t>
  </si>
  <si>
    <t>J26</t>
  </si>
  <si>
    <t>J27</t>
  </si>
  <si>
    <t>J28</t>
  </si>
  <si>
    <t>K1, K2, K3, K4, K5, K6, K7</t>
  </si>
  <si>
    <t>L1, L2, L3, L4</t>
  </si>
  <si>
    <t>L5</t>
  </si>
  <si>
    <t>L6, L9</t>
  </si>
  <si>
    <t>L7, L8</t>
  </si>
  <si>
    <t>L10</t>
  </si>
  <si>
    <t>LED1</t>
  </si>
  <si>
    <t>LED2, LED4</t>
  </si>
  <si>
    <t>LED3, LED5</t>
  </si>
  <si>
    <t>LED6</t>
  </si>
  <si>
    <t>LED7</t>
  </si>
  <si>
    <t>LED8, LED9, LED10, LED11, LED12, LED13</t>
  </si>
  <si>
    <t>Q1</t>
  </si>
  <si>
    <t>Q2, Q3, Q4, Q5</t>
  </si>
  <si>
    <t>Q6, Q13, Q14</t>
  </si>
  <si>
    <t>Q7, Q8, Q9, Q10, Q11</t>
  </si>
  <si>
    <t>Q12</t>
  </si>
  <si>
    <t>Q15</t>
  </si>
  <si>
    <t>Q16</t>
  </si>
  <si>
    <t>R1, R2, R33, R37, R38, R46, R50, R75, R76, R78, R79, R82, R83, R92, R108, R111, R112, R130, R152, R185, R186, R199, R208, R209, R225, R228, R229, R234</t>
  </si>
  <si>
    <t>R3, R57, R64, R181, R184, R190, R192, R193</t>
  </si>
  <si>
    <t>R4, R5</t>
  </si>
  <si>
    <t>R6, R7, R34, R47</t>
  </si>
  <si>
    <t>R8, R9, R11, R17, R97, R98, R99, R100, R101, R102, R103, R132, R133, R134, R135, R136, R137, R138, R139, R156, R160, R161, R163, R164, R165, R166, R167, R168, R169, R170, R171, R172, R206, R207, R210, R211, R212, R213, R214, R215, R216, R217, R218, R219, R220, R221, R238</t>
  </si>
  <si>
    <t>R10, R73, R74, R80, R81, R237</t>
  </si>
  <si>
    <t>R12, R13</t>
  </si>
  <si>
    <t>R14, R72, R77, R93</t>
  </si>
  <si>
    <t>R15, R16, R19, R20, R21, R22, R119, R120, R121, R122, R123, R124, R144, R145, R146, R147, R148, R149</t>
  </si>
  <si>
    <t>R18</t>
  </si>
  <si>
    <t>R23, R24, R28, R29, R52, R53, R60, R61, R68, R84, R85, R86, R87, R88, R89, R90, R129, R142, R173, R174, R177, R178, R179, R191, R194</t>
  </si>
  <si>
    <t>R25, R26, R30, R32, R40, R41, R42, R44</t>
  </si>
  <si>
    <t>R27, R35, R43, R48</t>
  </si>
  <si>
    <t>R31, R36, R45, R49</t>
  </si>
  <si>
    <t>R39</t>
  </si>
  <si>
    <t>R51</t>
  </si>
  <si>
    <t>R54, R65</t>
  </si>
  <si>
    <t>R55</t>
  </si>
  <si>
    <t>R56, R63</t>
  </si>
  <si>
    <t>R58, R66</t>
  </si>
  <si>
    <t>R59, R67</t>
  </si>
  <si>
    <t>R62, R233</t>
  </si>
  <si>
    <t>R69</t>
  </si>
  <si>
    <t>R70, R71</t>
  </si>
  <si>
    <t>R91, R94, R95, R157, R162</t>
  </si>
  <si>
    <t>R96, R153</t>
  </si>
  <si>
    <t>R104, R105</t>
  </si>
  <si>
    <t>R106, R107, R127, R150, R189, R195, R200, R227, R232</t>
  </si>
  <si>
    <t>R109, R113</t>
  </si>
  <si>
    <t>R110, R114</t>
  </si>
  <si>
    <t>R115, R116, R117, R118, R154, R155, R158, R159</t>
  </si>
  <si>
    <t>R125, R126, R140, R143</t>
  </si>
  <si>
    <t>R128, R151</t>
  </si>
  <si>
    <t>R131, R141</t>
  </si>
  <si>
    <t>R175, R230, R231</t>
  </si>
  <si>
    <t>R176, R180, R205</t>
  </si>
  <si>
    <t>R182</t>
  </si>
  <si>
    <t>R183</t>
  </si>
  <si>
    <t>R187, R235</t>
  </si>
  <si>
    <t>R188</t>
  </si>
  <si>
    <t>R196</t>
  </si>
  <si>
    <t>R197</t>
  </si>
  <si>
    <t>R198</t>
  </si>
  <si>
    <t>R201, R202</t>
  </si>
  <si>
    <t>R203</t>
  </si>
  <si>
    <t>R204</t>
  </si>
  <si>
    <t>R222, R223, R224</t>
  </si>
  <si>
    <t>R226</t>
  </si>
  <si>
    <t>R236</t>
  </si>
  <si>
    <t>SW1, SW2, SW3, SW4, SW5, SW6</t>
  </si>
  <si>
    <t>T1, T2</t>
  </si>
  <si>
    <t>TP4, TP5</t>
  </si>
  <si>
    <t>U1</t>
  </si>
  <si>
    <t>U2</t>
  </si>
  <si>
    <t>U3, U4</t>
  </si>
  <si>
    <t>U5</t>
  </si>
  <si>
    <t>U6, U7, U8, U9</t>
  </si>
  <si>
    <t>U10</t>
  </si>
  <si>
    <t>U11</t>
  </si>
  <si>
    <t>U12</t>
  </si>
  <si>
    <t>U13</t>
  </si>
  <si>
    <t>U14</t>
  </si>
  <si>
    <t>U15</t>
  </si>
  <si>
    <t>U16, U17</t>
  </si>
  <si>
    <t>U18</t>
  </si>
  <si>
    <t>U19</t>
  </si>
  <si>
    <t>U20</t>
  </si>
  <si>
    <t>U21</t>
  </si>
  <si>
    <t>U22</t>
  </si>
  <si>
    <t>U23, U25</t>
  </si>
  <si>
    <t>U24</t>
  </si>
  <si>
    <t>U26</t>
  </si>
  <si>
    <t>U27</t>
  </si>
  <si>
    <t>U28</t>
  </si>
  <si>
    <t>U29</t>
  </si>
  <si>
    <t>U30</t>
  </si>
  <si>
    <t>X1</t>
  </si>
  <si>
    <t>X2, X3</t>
  </si>
  <si>
    <t>Description</t>
  </si>
  <si>
    <t>RF ANT 2.4GHZ/5.5GHZ CHIP SLD</t>
  </si>
  <si>
    <t>CAP CER 0.1UF 16V X5R 0402</t>
  </si>
  <si>
    <t>CAP CER 100PF 50V C0G/NPO 0402</t>
  </si>
  <si>
    <t>CAP CER 1000PF 2KV X7R 1206</t>
  </si>
  <si>
    <t>CAP CER 1UF 16V X5R 0402</t>
  </si>
  <si>
    <t>CAP CER 4.7UF 50V X5R 0805</t>
  </si>
  <si>
    <t>CAP CER 1UF 25V X5R 0402</t>
  </si>
  <si>
    <t>CAP CER 0.1UF 50V X7R 0402</t>
  </si>
  <si>
    <t>CAP CER 10UF 50V X5R 0805</t>
  </si>
  <si>
    <t>CAP CER 47UF 25V X5R 1206</t>
  </si>
  <si>
    <t>CAP CER 2.2UF 25V X5R 0603</t>
  </si>
  <si>
    <t>CAP CER 1000PF 25V X7R 0402</t>
  </si>
  <si>
    <t>CAP CER 3.9PF 50V C0G/NPO 0402</t>
  </si>
  <si>
    <t>CAP CER 10PF 50V C0G/NP0 0402</t>
  </si>
  <si>
    <t>CAP TANT 470UF 10% 10V 2917</t>
  </si>
  <si>
    <t>CAP CER 0.1UF 100V X5R 0402</t>
  </si>
  <si>
    <t>CAP CER 33PF 25V C0G/NP0 0402</t>
  </si>
  <si>
    <t>CAP TANT 100UF 20% 10V 1411</t>
  </si>
  <si>
    <t>CAP CER 10UF 10V X5R 0402</t>
  </si>
  <si>
    <t>CAP CER 9PF 50V C0G/NPO 0402</t>
  </si>
  <si>
    <t>CAP CER 10UF 25V X5R 0603</t>
  </si>
  <si>
    <t>CAP CER 4.7UF 10V X5R 0402</t>
  </si>
  <si>
    <t>CAP CER 12PF 50V C0G/NP0 0402</t>
  </si>
  <si>
    <t>CAP CER 2.2UF 50V X5R 0805</t>
  </si>
  <si>
    <t>CAP CER 1UF 10V X5R 0201</t>
  </si>
  <si>
    <t>CAP CER 27PF 25V C0G/NP0 0402</t>
  </si>
  <si>
    <t>CAP CER 560PF 50V X7R 0402</t>
  </si>
  <si>
    <t>CAP CER 0.1UF 100V X7R 0603</t>
  </si>
  <si>
    <t>DFN1006-2(0402) ESD Protection Devices ROHS</t>
  </si>
  <si>
    <t>DFN2510-10L ESD Protection Devices ROHS</t>
  </si>
  <si>
    <t>TVS DIODE 33VWM 53.3VC SMB</t>
  </si>
  <si>
    <t>DIODE ZENER ARRAY 3.3V SOT363</t>
  </si>
  <si>
    <t>DIODE ZENER 5.1V 500MW SOD123</t>
  </si>
  <si>
    <t>DFN1006-2 ESD Protection Devices ROHS</t>
  </si>
  <si>
    <t>16A 20V 7V 5V@Max Unidirectional SOT-23 TVS ROHS</t>
  </si>
  <si>
    <t>35A@8/20us 15V 4.5V@Max DFN1006-2L Electrostatic and Surge Protection (TVS/ESD) ROHS</t>
  </si>
  <si>
    <t>TVS DIODE 5.5VWM SOT23</t>
  </si>
  <si>
    <t>0.5mA@40V 40V Single 3A 0.55V@3A SMA(DO-214AC) Schottky Barrier Diodes (SBD) ROHS</t>
  </si>
  <si>
    <t>FUSE BRD MNT 5A 32VAC 75VDC 1206</t>
  </si>
  <si>
    <t>6V 500mA 40A 1A 0603 Resettable Fuses ROHS</t>
  </si>
  <si>
    <t>FERRITE BEAD 30 OHM 0805 1LN</t>
  </si>
  <si>
    <t>0603 180Ω ±25% DCR=0.09Ω 1.5A</t>
  </si>
  <si>
    <t>Power Switch/Driver 1:1 P-Channel 1.7V~5.5V 130mΩ 1.2A SC-70-6</t>
  </si>
  <si>
    <t>-45℃~+85℃ 1.4mm Gold Deck MicroSD card (TF card) 260℃ Phosphor coppe Self bomb SMD SD Card Connectors ROHS</t>
  </si>
  <si>
    <t>CONN MXM 3.0 FMALE 314POS 0.020</t>
  </si>
  <si>
    <t>CONN RCPT 1.4 HDMI 19POS SMD R/A</t>
  </si>
  <si>
    <t>1x3P 18A -40℃~+105℃ 250V Black 12~30 Straight pin 5.08mm 2.5 1 3 Plugin,P=5.08mm Screw terminal ROHS</t>
  </si>
  <si>
    <t>USB 2.0 1.5A 2 235℃ Right-Angle 4P+4P Female -40℃~+85℃ Gold Brass Type-A Plugin USB Connectors ROHS</t>
  </si>
  <si>
    <t>USB 3.0 2 Right-Angle 9P+9P Female Type-A Plugin USB Connectors ROHS</t>
  </si>
  <si>
    <t>Shrouded DC Power Receptacle -20℃~+70℃ 2.5mm 6.5mm 10A 16V Plugin AC/DC Power Connectors ROHS</t>
  </si>
  <si>
    <t>1 Inner bore MCX/MMCX Board Edge Bend 6.8mm 6GHz 50Ω 3.45mm Plugin RF Connectors / Coaxial Connectors ROHS</t>
  </si>
  <si>
    <t>Pogo Pad 2.5mm 4 Pin</t>
  </si>
  <si>
    <t>Copper Alloy Self bomb Gold plating 1.25mm Deck -40℃~+85℃ 260℃ NanoSIM SMD SIM Card Connectors ROHS</t>
  </si>
  <si>
    <t>CONN RCPT USB2.0 MICRO B SMD R/A</t>
  </si>
  <si>
    <t>1x4P 10A -40℃~+105℃ 300V Green 16~26 Straight 3.81mm 0.5~1 1 4 Plugin,P=3.81mm Screw terminal ROHS</t>
  </si>
  <si>
    <t>RJ45 RJReceptacle 1 有屏蔽 Right-Angle 260℃ Gold Phosphor bronze WithLED -40℃~+85℃ Plugin Ethernet Connectors/Modular Connectors (RJ45 RJ11) ROHS</t>
  </si>
  <si>
    <t>250V 10A 14 Bend -40℃~+105℃ 1 3.5mm 1x14P Green Board Edge/Receptacle-Close Push-Pull,P=3.5mm Pluggable System Terminal Block ROHS</t>
  </si>
  <si>
    <t>3.5mm headphone jack 1A SMD Audio Connectors ROHS</t>
  </si>
  <si>
    <t>-25℃~+85℃ Clamshell 45P Bottom Contact Surface Mount，Right Angle 0.3mm 260℃ SMD,P=0.3mm,Surface Mount，Right Angle FFC/FPC Connectors ROHS</t>
  </si>
  <si>
    <t>1x2P 10A -40℃~+105℃ 300V Red 16~26 Straight 3.81mm 0.5~1 1 2 Plugin,P=3.81mm Screw terminal ROHS</t>
  </si>
  <si>
    <t>1x2P 18A -40℃~+105℃ 250V Orange 12~30 Straight 5.08mm 2.5 1 2 Plugin,P=5.08mm Screw terminal ROHS</t>
  </si>
  <si>
    <t>RELAY GENERAL PURPOSE SPDT 1A 5V</t>
  </si>
  <si>
    <t>CMC 100MA 2LN 90 OHM SMD</t>
  </si>
  <si>
    <t>Fixed Ind 4.720%UH 0.06 Ohm 3200M</t>
  </si>
  <si>
    <t>FIXED IND 2.2UH 1.5A 160MOHM SMD</t>
  </si>
  <si>
    <t>1uH ±20% 23A SMD,6.6x6.4mm Power Inductors ROHS</t>
  </si>
  <si>
    <t>2.26A 4.7uH ±20% SMD,7.3x7.3mm Power Inductors ROHS</t>
  </si>
  <si>
    <t>Emerald 0603 Light Emitting Diodes (LED) ROHS</t>
  </si>
  <si>
    <t>LED YELLOW CLEAR CHIP SMD</t>
  </si>
  <si>
    <t>LED RED CLEAR CHIP SMD</t>
  </si>
  <si>
    <t>RED LED 0603 Light Emitting Diodes</t>
  </si>
  <si>
    <t>LED BLUE CLEAR 2SMD</t>
  </si>
  <si>
    <t>12mA RGB SMD3535 Light Emitting Diodes (LED) ROHS</t>
  </si>
  <si>
    <t>Mosfet 2 N-Channel 20V 485mA 250mW Surface Mount SC-89 (SOT-563F)</t>
  </si>
  <si>
    <t>SOT-23 MOSFETs ROHS</t>
  </si>
  <si>
    <t>Trans Gp Bjt NPN 25V 1.5A 300MW 3-PIN SOT-23 T/r</t>
  </si>
  <si>
    <t>30V 100mA 200mW 8Ω@4V,10mA N Channel SOT-23 MOSFETs ROHS</t>
  </si>
  <si>
    <t>20V 2.2A 800mW 110mΩ@4.5V,2.7A 810mV@250uA P Channel SOT-23 MOSFETs ROHS</t>
  </si>
  <si>
    <t>MOSFET P-CH 30V 4.3A SOT23-3</t>
  </si>
  <si>
    <t>TRANS NPN 40V 0.2A SOT523</t>
  </si>
  <si>
    <t>RES 10K OHM 1% 1/16W 0402</t>
  </si>
  <si>
    <t>RES 100K OHM 1% 1/16W 0402</t>
  </si>
  <si>
    <t>4 22Ω ±1% 62.5mW ±200ppm/℃ 0603x4 Resistor Networks &amp; Arrays ROHS</t>
  </si>
  <si>
    <t>RES SMD 1M OHM 5% 1/16W 0402</t>
  </si>
  <si>
    <t>RES 4.7K OHM 1% 1/16W 0402</t>
  </si>
  <si>
    <t>RES 1K OHM 1% 1/16W 0402</t>
  </si>
  <si>
    <t>RES 100 OHM 1% 1/16W 0402</t>
  </si>
  <si>
    <t>RES SMD 10K Ohm 1% 1/10W 0603</t>
  </si>
  <si>
    <t>RES 22 OHM 1% 1/16W 0402</t>
  </si>
  <si>
    <t>RES SMD 120 OHM 0.1% 1/10W 0603</t>
  </si>
  <si>
    <t>RES 0 OHM JUMPER 1/16W 0402</t>
  </si>
  <si>
    <t>RES 2.2 OHM 1% 1/16W 0402</t>
  </si>
  <si>
    <t>RES 0 OHM JUMPER 1/8W 0805</t>
  </si>
  <si>
    <t>RES 6.8K OHM 1% 1/16W 0402</t>
  </si>
  <si>
    <t>RES SMD 15K OHM 0.1% 1/16W 0402</t>
  </si>
  <si>
    <t>RES 2.7K OHM 1% 1/10W 0603</t>
  </si>
  <si>
    <t>RES SMD 0 OHM JUMPER 1/10W 0603</t>
  </si>
  <si>
    <t>RES  SMD 330R 100 mW 0603</t>
  </si>
  <si>
    <t>RES 12K OHM 1% 1/10W 0603</t>
  </si>
  <si>
    <t>RES 39K OHM 1% 1/16W 0402</t>
  </si>
  <si>
    <t>RES SMD 1K OHM 1% 1/10W 0603</t>
  </si>
  <si>
    <t>RES SMD 100K OHM 5% 1/20W 0201</t>
  </si>
  <si>
    <t>RES 180 OHM 1% 1/10W 0603</t>
  </si>
  <si>
    <t>RES 0 OHM JUMPER 1/10W 0603</t>
  </si>
  <si>
    <t>RES SMD 1.8K OHM 1% 1/5W 0402</t>
  </si>
  <si>
    <t>RES 5.1K OHM 1% 1/16W 0402</t>
  </si>
  <si>
    <t>RES 15K OHM 1% 1/10W 0603</t>
  </si>
  <si>
    <t>RES 20K OHM 1% 1/16W 0402</t>
  </si>
  <si>
    <t>RES 75 OHM 1% 1/10W 0603</t>
  </si>
  <si>
    <t>RES SMD 510 OHM 1% 1/16W 0402</t>
  </si>
  <si>
    <t>RES 120 OHM 1% 1/10W 0603</t>
  </si>
  <si>
    <t>RES 2.49K OHM 1% 1/10W 0603</t>
  </si>
  <si>
    <t>RES 2 OHM 1% 1/4W 1206</t>
  </si>
  <si>
    <t>RES 5.1 OHM 5% 1/4W 1206</t>
  </si>
  <si>
    <t>RES 51K OHM 1% 1/16W 0402</t>
  </si>
  <si>
    <t>RES SMD 2.2K OHM 1% 1/16W 0402</t>
  </si>
  <si>
    <t>RES SMD 3K OHM 1% 1/3W 0603</t>
  </si>
  <si>
    <t>RES 5.1K OHM 1% 1/10W 0603</t>
  </si>
  <si>
    <t>RES SMD 12K OHM 1% 1/5W 0402</t>
  </si>
  <si>
    <t>50mW ±5% ±200ppm/℃ 470Ω 0201 Chip Resistor - Surface Mount ROHS</t>
  </si>
  <si>
    <t>RES SMD 10K OHM 1% 1/20W 0201</t>
  </si>
  <si>
    <t>RES 47K OHM 1% 1/16W 0402</t>
  </si>
  <si>
    <t>RES ARRAY 4 RES 10K OHM 1206</t>
  </si>
  <si>
    <t>RES 470 OHM 1% 1/10W 0603</t>
  </si>
  <si>
    <t>RES 499 OHM 1% 1/16W 0402</t>
  </si>
  <si>
    <t>3mm 2mm Round Button 50mA Top3.65mm SPST 12V SMD Tactile Switches</t>
  </si>
  <si>
    <t>TRANSFORMER MODULE GIGABIT 1PORT</t>
  </si>
  <si>
    <t>Test Point ON</t>
  </si>
  <si>
    <t>transceiver 12Mbps 1/1 SOP-8 RS-485/RS-422 ICs ROHS</t>
  </si>
  <si>
    <t>IC TRANSCEIVER FULL 2/2 16SOIC</t>
  </si>
  <si>
    <t>TVS DIODE 5.5VWM 11VC U-DFN2510</t>
  </si>
  <si>
    <t>IC INTERFACE SPECIALIZED 24TSSOP</t>
  </si>
  <si>
    <t>SOT-23-5 Power Distribution Switches ROHS</t>
  </si>
  <si>
    <t>MOSFET N-CH 40V 60A PPAK SO-8</t>
  </si>
  <si>
    <t>OR Controller N+1 ORing Controller N-Channel 1:1 SOT-23-6</t>
  </si>
  <si>
    <t>IC REG BUCK 3.3V 6A 17FC2QFN</t>
  </si>
  <si>
    <t>IC REG BUCK 5V 8A 17FC2QFN</t>
  </si>
  <si>
    <t>LGA-85_19.6x19.6x1.10P RF Modules ROHS</t>
  </si>
  <si>
    <t>IC TRNSLTR BIDIRECTIONAL US8</t>
  </si>
  <si>
    <t>15V 5 Unidirectional 5V SOT-363 ESD Protection Devices ROHS</t>
  </si>
  <si>
    <t>802.11ac/a/b/g/n WiFi Combo Sip Module (WiFi 5), 1T1R</t>
  </si>
  <si>
    <t>DFN-6-EP(2x2) Temperature and Humidity Sensor ROHS</t>
  </si>
  <si>
    <t>100uA@50V 3V@2V,300mA 1.6V@350mA 4mA@12V 100uA@50V 1.25V@350mA 500mA 25pF SOP-16_150mil Darlington Transistor Arrays ROHS</t>
  </si>
  <si>
    <t>IC USB TO UART BRIDGE QFN24</t>
  </si>
  <si>
    <t>IC TRANSLTR BIDIRECTIONAL 8VSSOP</t>
  </si>
  <si>
    <t>WQFN-40-EP(5x5) Ethernet ICs ROHS</t>
  </si>
  <si>
    <t>1MHz PWM boost converter 1 DC-DCConverter 4A 2.8V~30V DFN-10-EP(3x3) LED Drivers ROHS</t>
  </si>
  <si>
    <t>IC REG LDO ADJ 3A TO263-5</t>
  </si>
  <si>
    <t>IC REG LINEAR 1.8V 800MA SOT223</t>
  </si>
  <si>
    <t>IC XPNDR 400KHZ I2C SMBUS 32UQFN</t>
  </si>
  <si>
    <t>Optoisolator Output Channel 4-SMD</t>
  </si>
  <si>
    <t>IC BUFFER SCHMITT TRIGGER 5TSOP</t>
  </si>
  <si>
    <t>37.4MHz SMD Crystal Resonator 9pF 60Ω ±10ppm -40℃~+85℃ SMD2016-4P Crystals</t>
  </si>
  <si>
    <t>CRYSTAL 25.0000MHZ 12PF SMD</t>
  </si>
  <si>
    <t>Footprint</t>
  </si>
  <si>
    <t>W3006_</t>
  </si>
  <si>
    <t>Cap-0402</t>
  </si>
  <si>
    <t>Cap-1206</t>
  </si>
  <si>
    <t>Cap-0805</t>
  </si>
  <si>
    <t>cap-0402</t>
  </si>
  <si>
    <t>CAP-0603</t>
  </si>
  <si>
    <t>Case-E</t>
  </si>
  <si>
    <t>Case-B</t>
  </si>
  <si>
    <t>Cap-0603</t>
  </si>
  <si>
    <t>CAP-0201</t>
  </si>
  <si>
    <t>DFN1006-2L_</t>
  </si>
  <si>
    <t>DFN2510-10L_</t>
  </si>
  <si>
    <t>SMB Bi Directional</t>
  </si>
  <si>
    <t>SOT-363</t>
  </si>
  <si>
    <t>SOD-123</t>
  </si>
  <si>
    <t>Sot-23</t>
  </si>
  <si>
    <t>SOT-23</t>
  </si>
  <si>
    <t>SMA</t>
  </si>
  <si>
    <t>Fuse 1206 (3216 Metric)</t>
  </si>
  <si>
    <t>Fuse-0603</t>
  </si>
  <si>
    <t>Ind-0805</t>
  </si>
  <si>
    <t>IND-0603 (1608 Metric)</t>
  </si>
  <si>
    <t>SC-70-6</t>
  </si>
  <si>
    <t>TF-109</t>
  </si>
  <si>
    <t>MM70-314B1-2-R300</t>
  </si>
  <si>
    <t>10029449-111RLF</t>
  </si>
  <si>
    <t>DB128L-5.08-3P-BK-S</t>
  </si>
  <si>
    <t>U224-081N-1BR61</t>
  </si>
  <si>
    <t>UEA1112C-8HS6-4F</t>
  </si>
  <si>
    <t>DC-053D-25A</t>
  </si>
  <si>
    <t>BWMMCX-KWE</t>
  </si>
  <si>
    <t>Pogo 4 Pin</t>
  </si>
  <si>
    <t>XKNANO-113</t>
  </si>
  <si>
    <t>10118192-0001LF_</t>
  </si>
  <si>
    <t>DB125-3.81-4P-GN-S</t>
  </si>
  <si>
    <t>X12ADAB1A3DY1027</t>
  </si>
  <si>
    <t>PJ-332D-6A</t>
  </si>
  <si>
    <t>X03A10L45G</t>
  </si>
  <si>
    <t>DB125-3.81-2P-RD-S</t>
  </si>
  <si>
    <t>DB128L-5.08-2P-OG-S</t>
  </si>
  <si>
    <t>G5V-1-DC5</t>
  </si>
  <si>
    <t>MCZ1210DH900L2TA0G</t>
  </si>
  <si>
    <t>SWPA4030S4R7MT_</t>
  </si>
  <si>
    <t>MAKK2016T2R2M_</t>
  </si>
  <si>
    <t>YSPIT0630A-1R0M</t>
  </si>
  <si>
    <t>YPRH0703-4R7M</t>
  </si>
  <si>
    <t>LED-0603</t>
  </si>
  <si>
    <t>LED-0402</t>
  </si>
  <si>
    <t>SMD3535</t>
  </si>
  <si>
    <t>SOT-563</t>
  </si>
  <si>
    <t>SOT-523</t>
  </si>
  <si>
    <t>Res-0402</t>
  </si>
  <si>
    <t>YC164-JR-070RL</t>
  </si>
  <si>
    <t>Res-0603</t>
  </si>
  <si>
    <t>Res-0805</t>
  </si>
  <si>
    <t>Res-0201</t>
  </si>
  <si>
    <t>Res-1206</t>
  </si>
  <si>
    <t>YC164-FR-0710KL</t>
  </si>
  <si>
    <t>TS-1185EC-C-D-B_</t>
  </si>
  <si>
    <t>H5007NLT</t>
  </si>
  <si>
    <t>Test-point</t>
  </si>
  <si>
    <t>SOP-8</t>
  </si>
  <si>
    <t>SOIC-16</t>
  </si>
  <si>
    <t>U-DFN2510-10</t>
  </si>
  <si>
    <t>24-TSSOP</t>
  </si>
  <si>
    <t>SOT-23-5</t>
  </si>
  <si>
    <t>PowerPAK-SO-8</t>
  </si>
  <si>
    <t>SOT-23-6</t>
  </si>
  <si>
    <t>17-FC2QFN (3.5x3.75)</t>
  </si>
  <si>
    <t>A7682E</t>
  </si>
  <si>
    <t>TXB0102DCUT</t>
  </si>
  <si>
    <t>AP6256_</t>
  </si>
  <si>
    <t>DFN-6-EP(2x2)</t>
  </si>
  <si>
    <t>SOP-16_150mil</t>
  </si>
  <si>
    <t>CP2102N-A02-GQFN24R</t>
  </si>
  <si>
    <t>VSSOP-8(3.1x2.1)</t>
  </si>
  <si>
    <t>WQFN-40-EP(5x5)</t>
  </si>
  <si>
    <t>DFN-10-EP(3x3)</t>
  </si>
  <si>
    <t>TO-263-5 (D2PAK)</t>
  </si>
  <si>
    <t>SOT- 223</t>
  </si>
  <si>
    <t>32-UQFN (5x5)</t>
  </si>
  <si>
    <t>PC817X2NIPW</t>
  </si>
  <si>
    <t>SC-74A</t>
  </si>
  <si>
    <t>Q22FA12800078_</t>
  </si>
  <si>
    <t>Q22FA12800090</t>
  </si>
  <si>
    <t>Manufacturer Part Number</t>
  </si>
  <si>
    <t>W3006</t>
  </si>
  <si>
    <t>CC0402KRX5R7BB104</t>
  </si>
  <si>
    <t>CC0402JRNPO9BN101</t>
  </si>
  <si>
    <t>CC1206KKX7RDBB102</t>
  </si>
  <si>
    <t>CC0402KRX5R7BB105</t>
  </si>
  <si>
    <t>GRM31CR61A107MEA8L</t>
  </si>
  <si>
    <t>GRM21BR61H475KE51L</t>
  </si>
  <si>
    <t>CC0402KRX5R8BB105</t>
  </si>
  <si>
    <t>C1005X7R1H104KT000F</t>
  </si>
  <si>
    <t>GRM21BR61H106ME43L</t>
  </si>
  <si>
    <t>GRM31CR61E476ME44L</t>
  </si>
  <si>
    <t>CC0603KRX5R8BB225</t>
  </si>
  <si>
    <t>CC0402KRX7R8BB102</t>
  </si>
  <si>
    <t>CC0402BRNPO9BN3R9</t>
  </si>
  <si>
    <t>GRM1555C1H100JA01D</t>
  </si>
  <si>
    <t>TAJE477K010RNJ</t>
  </si>
  <si>
    <t>GRM155R62A104KE14D</t>
  </si>
  <si>
    <t>GRM1555C1E330JA01D</t>
  </si>
  <si>
    <t>TAJB107M010RNJ</t>
  </si>
  <si>
    <t>CC0402MRX5R6BB106</t>
  </si>
  <si>
    <t>CQ0402CRNPO9BN9R0</t>
  </si>
  <si>
    <t>C1608X5R1E106M080AC</t>
  </si>
  <si>
    <t>CC0402KRX5R6BB475</t>
  </si>
  <si>
    <t>GJM1555C1H120GB01D</t>
  </si>
  <si>
    <t>C2012X5R1H225K125AB</t>
  </si>
  <si>
    <t>CC0201MRX5R6BB105</t>
  </si>
  <si>
    <t>0402N270J250CT</t>
  </si>
  <si>
    <t>CC0402JRX7R9BB561</t>
  </si>
  <si>
    <t>CC0603KRX7R0BB104</t>
  </si>
  <si>
    <t>ESD5451N</t>
  </si>
  <si>
    <t>ESD5344D-10/TR</t>
  </si>
  <si>
    <t>SMBJ33CA-13-F</t>
  </si>
  <si>
    <t>BZX84C3V3TS-7-F</t>
  </si>
  <si>
    <t>MMSZ5231BT1G</t>
  </si>
  <si>
    <t>ESD9X5VU</t>
  </si>
  <si>
    <t>ESD5302F-3/TR</t>
  </si>
  <si>
    <t>ESD5651N-2/TR</t>
  </si>
  <si>
    <t>DRTR5V0U1SO-7</t>
  </si>
  <si>
    <t>SS34</t>
  </si>
  <si>
    <t>0458005.DR</t>
  </si>
  <si>
    <t>SMD0603-050</t>
  </si>
  <si>
    <t>BLM18PG181SN1D</t>
  </si>
  <si>
    <t>MIC94093YC6-TR</t>
  </si>
  <si>
    <t>POGO Connector 4 Pin</t>
  </si>
  <si>
    <t>10118192-0001LF</t>
  </si>
  <si>
    <t>DB2ERC-3.5-14P-GN</t>
  </si>
  <si>
    <t>SWPA4030S4R7MT</t>
  </si>
  <si>
    <t>MAKK2016T2R2M</t>
  </si>
  <si>
    <t>NCD0603G2</t>
  </si>
  <si>
    <t>XZMYK68W-2</t>
  </si>
  <si>
    <t>XZMDK68W-2</t>
  </si>
  <si>
    <t>NCD0603R3</t>
  </si>
  <si>
    <t>XZCBD68W-2</t>
  </si>
  <si>
    <t>WS2812B-MINI-V3/W</t>
  </si>
  <si>
    <t>SI1024X-T1-GE3</t>
  </si>
  <si>
    <t>FDN335N</t>
  </si>
  <si>
    <t>SS8050-G</t>
  </si>
  <si>
    <t>2SK3018</t>
  </si>
  <si>
    <t>WPM2015-3/TR</t>
  </si>
  <si>
    <t>AOSS21311C</t>
  </si>
  <si>
    <t>MMBT3904T-7-F</t>
  </si>
  <si>
    <t>RC0402FR-0710KL</t>
  </si>
  <si>
    <t>RC0402FR-07100KL</t>
  </si>
  <si>
    <t>YC164-FR-0722RL</t>
  </si>
  <si>
    <t>AF0402JR-071ML</t>
  </si>
  <si>
    <t>RC0402FR-074K7L</t>
  </si>
  <si>
    <t>RC0402FR-071KL</t>
  </si>
  <si>
    <t>RC0402FR-07100RL</t>
  </si>
  <si>
    <t>RC0603FR-0710KL</t>
  </si>
  <si>
    <t>RC0402FR-0722RL</t>
  </si>
  <si>
    <t>RT0603BRB07120RL</t>
  </si>
  <si>
    <t>RC0402FR-070RL</t>
  </si>
  <si>
    <t>RC0402FR-072R2L</t>
  </si>
  <si>
    <t>RC0805FR-070RL</t>
  </si>
  <si>
    <t>RC0402FR-076K8L</t>
  </si>
  <si>
    <t>RT0402BRD0715KL</t>
  </si>
  <si>
    <t>RC0603FR-072K7L</t>
  </si>
  <si>
    <t>ERJ-3GEY0R00V</t>
  </si>
  <si>
    <t>RC0603JR-07330RL</t>
  </si>
  <si>
    <t>RC0603FR-0712KL</t>
  </si>
  <si>
    <t>RC0402FR-0739KL</t>
  </si>
  <si>
    <t>CRCW06031K00FKEA</t>
  </si>
  <si>
    <t>RC0201JR-07100KL</t>
  </si>
  <si>
    <t>RC0603FR-07180RL</t>
  </si>
  <si>
    <t>RC0603JR-070RL</t>
  </si>
  <si>
    <t>RCS04021K80FKED</t>
  </si>
  <si>
    <t>RC0402FR-075K1L</t>
  </si>
  <si>
    <t>RC0603FR-0715KL</t>
  </si>
  <si>
    <t>RC0402FR-0720KL</t>
  </si>
  <si>
    <t>RC0603FR-0775RL</t>
  </si>
  <si>
    <t>RT0402FRE07510RL</t>
  </si>
  <si>
    <t>RC0603FR-07120RL</t>
  </si>
  <si>
    <t>RC0603FR-072K49L</t>
  </si>
  <si>
    <t>RC1206FR-072RL</t>
  </si>
  <si>
    <t>RC1206JR-075R1L</t>
  </si>
  <si>
    <t>RC0402FR-0751KL</t>
  </si>
  <si>
    <t>RC0402FR-072K2L</t>
  </si>
  <si>
    <t>CRCW06033K00FKEAHP</t>
  </si>
  <si>
    <t>RC0603FR-075K1L</t>
  </si>
  <si>
    <t>RCS040212K0FKED</t>
  </si>
  <si>
    <t>RC-01W471JT</t>
  </si>
  <si>
    <t>RC0201FR-0710KL</t>
  </si>
  <si>
    <t>RC0402FR-0747KL</t>
  </si>
  <si>
    <t>RC0603FR-07470RL</t>
  </si>
  <si>
    <t>RC0402FR-07499RL</t>
  </si>
  <si>
    <t>TS-1185EC-C-D-B</t>
  </si>
  <si>
    <t>SIT3485ESA</t>
  </si>
  <si>
    <t>MAX3232IDR</t>
  </si>
  <si>
    <t>DT1240-04LP-7</t>
  </si>
  <si>
    <t>TPD12S016PWR</t>
  </si>
  <si>
    <t>SY6280AAC</t>
  </si>
  <si>
    <t>SQJ886EP-T1_GE3</t>
  </si>
  <si>
    <t>LM74700QDBVRQ1</t>
  </si>
  <si>
    <t>MAX20006AFOB/VY+T</t>
  </si>
  <si>
    <t>MAX20008AFOC/VY+T</t>
  </si>
  <si>
    <t>SMF05CT1G-ES</t>
  </si>
  <si>
    <t>AP6256</t>
  </si>
  <si>
    <t>GXHTC3</t>
  </si>
  <si>
    <t>ULN2003A</t>
  </si>
  <si>
    <t>TXS0102DCUR</t>
  </si>
  <si>
    <t>RTL8211F-CG</t>
  </si>
  <si>
    <t>SY7203DBC</t>
  </si>
  <si>
    <t>MIC29302WU-TR</t>
  </si>
  <si>
    <t>LM1117MPX-1.8/NOPB</t>
  </si>
  <si>
    <t>TCA6424ARGJR</t>
  </si>
  <si>
    <t>74LVC1G17GV,125</t>
  </si>
  <si>
    <t>Q22FA12800078</t>
  </si>
  <si>
    <t>Manufacturer</t>
  </si>
  <si>
    <t>Pulse</t>
  </si>
  <si>
    <t>Yageo</t>
  </si>
  <si>
    <t>Murata Electronics</t>
  </si>
  <si>
    <t>Murata</t>
  </si>
  <si>
    <t>TDK</t>
  </si>
  <si>
    <t>Kyocera AVX</t>
  </si>
  <si>
    <t>Walsin Technologies</t>
  </si>
  <si>
    <t>TECH PUBLIC</t>
  </si>
  <si>
    <t>WILLSEMI</t>
  </si>
  <si>
    <t>Diodes</t>
  </si>
  <si>
    <t>Diodes Incorporated</t>
  </si>
  <si>
    <t>ON Semiconductor</t>
  </si>
  <si>
    <t>WILLSEMI(Will Semicon)</t>
  </si>
  <si>
    <t>MDD</t>
  </si>
  <si>
    <t>Littelfuse</t>
  </si>
  <si>
    <t>TECHFUSE</t>
  </si>
  <si>
    <t>Microchip Tech</t>
  </si>
  <si>
    <t>XUNPU</t>
  </si>
  <si>
    <t>JAE Electronics</t>
  </si>
  <si>
    <t>Amphenol ICC / FCI</t>
  </si>
  <si>
    <t>DIBO</t>
  </si>
  <si>
    <t>XKB Connection</t>
  </si>
  <si>
    <t>FOXCONN</t>
  </si>
  <si>
    <t>Korean Hroparts Elec</t>
  </si>
  <si>
    <t>BAT WIRELESS</t>
  </si>
  <si>
    <t>XKB Connectivity</t>
  </si>
  <si>
    <t>Amphenol FCI</t>
  </si>
  <si>
    <t>DORABO</t>
  </si>
  <si>
    <t>Omron</t>
  </si>
  <si>
    <t>Sunlord</t>
  </si>
  <si>
    <t>Taiyo Yuden</t>
  </si>
  <si>
    <t>YJYCOIN</t>
  </si>
  <si>
    <t>Foshan NationStar Optoelectronics</t>
  </si>
  <si>
    <t>SunLED</t>
  </si>
  <si>
    <t>Worldsemi</t>
  </si>
  <si>
    <t>Vishay Intertech</t>
  </si>
  <si>
    <t>Comchip</t>
  </si>
  <si>
    <t>KUU</t>
  </si>
  <si>
    <t>Alpha &amp; Omega Semiconductor</t>
  </si>
  <si>
    <t>Diodes Zetex</t>
  </si>
  <si>
    <t>YAGEO</t>
  </si>
  <si>
    <t>Panasonic</t>
  </si>
  <si>
    <t>Vishay Dale</t>
  </si>
  <si>
    <t>FH</t>
  </si>
  <si>
    <t>XKB</t>
  </si>
  <si>
    <t>SIT</t>
  </si>
  <si>
    <t>Texas Instruments</t>
  </si>
  <si>
    <t>Silergy</t>
  </si>
  <si>
    <t>Vishay Siliconix</t>
  </si>
  <si>
    <t>Maxim</t>
  </si>
  <si>
    <t>Analog Devices</t>
  </si>
  <si>
    <t>SIMCom Wireless Solutions</t>
  </si>
  <si>
    <t>ElecSuper</t>
  </si>
  <si>
    <t>SparkLan</t>
  </si>
  <si>
    <t>GXCAS</t>
  </si>
  <si>
    <t>Mixic</t>
  </si>
  <si>
    <t>Silicon Labs</t>
  </si>
  <si>
    <t>Realtek Semicon</t>
  </si>
  <si>
    <t>Microchip</t>
  </si>
  <si>
    <t>TI National Semiconductor</t>
  </si>
  <si>
    <t>Sharp</t>
  </si>
  <si>
    <t>Nexperia</t>
  </si>
  <si>
    <t>Seiko</t>
  </si>
  <si>
    <t>Seiko Epson</t>
  </si>
  <si>
    <t>100nF</t>
  </si>
  <si>
    <t>100pF</t>
  </si>
  <si>
    <t>1nF</t>
  </si>
  <si>
    <t>1uF</t>
  </si>
  <si>
    <t>100uF</t>
  </si>
  <si>
    <t>4.7uf</t>
  </si>
  <si>
    <t>10uF</t>
  </si>
  <si>
    <t>47uF</t>
  </si>
  <si>
    <t>2.2uF</t>
  </si>
  <si>
    <t>1000pF</t>
  </si>
  <si>
    <t>3.9pF</t>
  </si>
  <si>
    <t>10pF</t>
  </si>
  <si>
    <t>470uF</t>
  </si>
  <si>
    <t>0.1uf</t>
  </si>
  <si>
    <t>33pF</t>
  </si>
  <si>
    <t>9pF</t>
  </si>
  <si>
    <t>4.7uF</t>
  </si>
  <si>
    <t>12pF</t>
  </si>
  <si>
    <t>27pF</t>
  </si>
  <si>
    <t>560pF</t>
  </si>
  <si>
    <t>0.1uF</t>
  </si>
  <si>
    <t>100MHz</t>
  </si>
  <si>
    <t>4.7uH</t>
  </si>
  <si>
    <t>2.2uH</t>
  </si>
  <si>
    <t>1uH</t>
  </si>
  <si>
    <t>10K</t>
  </si>
  <si>
    <t>100K</t>
  </si>
  <si>
    <t>22R</t>
  </si>
  <si>
    <t>1M</t>
  </si>
  <si>
    <t>4.7K</t>
  </si>
  <si>
    <t>1K</t>
  </si>
  <si>
    <t>DNP</t>
  </si>
  <si>
    <t>120R</t>
  </si>
  <si>
    <t>0R</t>
  </si>
  <si>
    <t>2.2R</t>
  </si>
  <si>
    <t>6.8K</t>
  </si>
  <si>
    <t>15K</t>
  </si>
  <si>
    <t>2.7K</t>
  </si>
  <si>
    <t>330R</t>
  </si>
  <si>
    <t>12K</t>
  </si>
  <si>
    <t>39K</t>
  </si>
  <si>
    <t>180R</t>
  </si>
  <si>
    <t>1.8K</t>
  </si>
  <si>
    <t>5.1K</t>
  </si>
  <si>
    <t>100R</t>
  </si>
  <si>
    <t>20K</t>
  </si>
  <si>
    <t>75R</t>
  </si>
  <si>
    <t>510R</t>
  </si>
  <si>
    <t>2.49K</t>
  </si>
  <si>
    <t>5.1R</t>
  </si>
  <si>
    <t>51K</t>
  </si>
  <si>
    <t>2.2K</t>
  </si>
  <si>
    <t>3K</t>
  </si>
  <si>
    <t>470R</t>
  </si>
  <si>
    <t>47K</t>
  </si>
  <si>
    <t>499R</t>
  </si>
  <si>
    <t>37.4MHz</t>
  </si>
  <si>
    <t>25MHz</t>
  </si>
  <si>
    <t>Quantity</t>
  </si>
  <si>
    <t>Links</t>
  </si>
  <si>
    <t xml:space="preserve"> Unit Cost (5 Boards)</t>
  </si>
  <si>
    <t>Total Cost (5 Boards)</t>
  </si>
  <si>
    <t>Remarks</t>
  </si>
  <si>
    <t>5 Boards Quantity</t>
  </si>
  <si>
    <t>Common Mode Filter</t>
  </si>
  <si>
    <t>Switch</t>
  </si>
  <si>
    <t>Value</t>
  </si>
  <si>
    <t>Digikey</t>
  </si>
  <si>
    <t>2.10000</t>
  </si>
  <si>
    <t>0.10000</t>
  </si>
  <si>
    <t>0.25000</t>
  </si>
  <si>
    <t>2.37000</t>
  </si>
  <si>
    <t>0.26000</t>
  </si>
  <si>
    <t>0.02594</t>
  </si>
  <si>
    <t>0.19000</t>
  </si>
  <si>
    <t>0.43000</t>
  </si>
  <si>
    <t>0.17000</t>
  </si>
  <si>
    <t>0.01070</t>
  </si>
  <si>
    <t>0.20900</t>
  </si>
  <si>
    <t>0.14500</t>
  </si>
  <si>
    <t>0.39400</t>
  </si>
  <si>
    <t>0.18000</t>
  </si>
  <si>
    <t>0.17300</t>
  </si>
  <si>
    <t>0.03480</t>
  </si>
  <si>
    <t>0.22400</t>
  </si>
  <si>
    <t>0.73700</t>
  </si>
  <si>
    <t>0.16200</t>
  </si>
  <si>
    <t>0.02100</t>
  </si>
  <si>
    <t>0.03200</t>
  </si>
  <si>
    <t>0.02500</t>
  </si>
  <si>
    <t>0.48500</t>
  </si>
  <si>
    <t>0.23400</t>
  </si>
  <si>
    <t>0.08200</t>
  </si>
  <si>
    <t>0.12900</t>
  </si>
  <si>
    <t>0.01500</t>
  </si>
  <si>
    <t>0.03700</t>
  </si>
  <si>
    <t>0.37000</t>
  </si>
  <si>
    <t>0.30500</t>
  </si>
  <si>
    <t>0.21000</t>
  </si>
  <si>
    <t>0.23800</t>
  </si>
  <si>
    <t>1.57800</t>
  </si>
  <si>
    <t>0.07800</t>
  </si>
  <si>
    <t>0.56000</t>
  </si>
  <si>
    <t>8.42600</t>
  </si>
  <si>
    <t>1.26000</t>
  </si>
  <si>
    <t>0.46000</t>
  </si>
  <si>
    <t>1.84800</t>
  </si>
  <si>
    <t>0.39000</t>
  </si>
  <si>
    <t>0.16600</t>
  </si>
  <si>
    <t>0.27900</t>
  </si>
  <si>
    <t>0.23700</t>
  </si>
  <si>
    <t>0.51000</t>
  </si>
  <si>
    <t>0.53000</t>
  </si>
  <si>
    <t>0.20000</t>
  </si>
  <si>
    <t>0.44000</t>
  </si>
  <si>
    <t>0.00730</t>
  </si>
  <si>
    <t>0.11700</t>
  </si>
  <si>
    <t>0.02400</t>
  </si>
  <si>
    <t>0.01900</t>
  </si>
  <si>
    <t>0.00880</t>
  </si>
  <si>
    <t>0.13463</t>
  </si>
  <si>
    <t>0.00450</t>
  </si>
  <si>
    <t>0.03100</t>
  </si>
  <si>
    <t>0.16000</t>
  </si>
  <si>
    <t>0.02600</t>
  </si>
  <si>
    <t>0.01120</t>
  </si>
  <si>
    <t>0.06100</t>
  </si>
  <si>
    <t>0.02700</t>
  </si>
  <si>
    <t>0.14000</t>
  </si>
  <si>
    <t>0.11000</t>
  </si>
  <si>
    <t>6.72700</t>
  </si>
  <si>
    <t>0.31900</t>
  </si>
  <si>
    <t>1.18000</t>
  </si>
  <si>
    <t>1.51000</t>
  </si>
  <si>
    <t>1.79000</t>
  </si>
  <si>
    <t>2.52540</t>
  </si>
  <si>
    <t>5.57000</t>
  </si>
  <si>
    <t>18.03000</t>
  </si>
  <si>
    <t>1.06000</t>
  </si>
  <si>
    <t>4.44000</t>
  </si>
  <si>
    <t>0.91000</t>
  </si>
  <si>
    <t>2.89000</t>
  </si>
  <si>
    <t>1.35000</t>
  </si>
  <si>
    <t>2.13000</t>
  </si>
  <si>
    <t>0.15685</t>
  </si>
  <si>
    <t>0.36000</t>
  </si>
  <si>
    <t>0.28785</t>
  </si>
  <si>
    <t>0.80600</t>
  </si>
  <si>
    <t>-</t>
  </si>
  <si>
    <t>CAP CER 100UF 10V X5R 1206</t>
  </si>
  <si>
    <t>LCSC</t>
  </si>
  <si>
    <t>BLM21PG300SN1D</t>
  </si>
  <si>
    <t>Custom</t>
  </si>
  <si>
    <t>Total Component price</t>
  </si>
  <si>
    <t>Single Board Component Price</t>
  </si>
  <si>
    <t>Do Not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</si>
</sst>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  <xf numFmtId="164" fontId="7" fillId="2" borderId="4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4" fontId="6" fillId="2" borderId="8" xfId="0" applyNumberFormat="1" applyFont="1" applyFill="1" applyBorder="1" applyAlignment="1">
      <alignment horizontal="center" vertical="center" wrapText="1"/>
    </xf>
    <xf numFmtId="164" fontId="6" fillId="2" borderId="9" xfId="0" applyNumberFormat="1" applyFont="1" applyFill="1" applyBorder="1" applyAlignment="1">
      <alignment horizontal="center" vertical="center" wrapText="1"/>
    </xf>
    <xf numFmtId="164" fontId="0" fillId="0" borderId="10" xfId="0" applyNumberFormat="1" applyBorder="1"/>
    <xf numFmtId="0" fontId="2" fillId="3" borderId="9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164" fontId="4" fillId="2" borderId="9" xfId="0" applyNumberFormat="1" applyFont="1" applyFill="1" applyBorder="1" applyAlignment="1">
      <alignment horizontal="center" vertical="center" wrapText="1"/>
    </xf>
    <xf numFmtId="165" fontId="0" fillId="0" borderId="0" xfId="0" applyNumberFormat="1"/>
    <xf numFmtId="165" fontId="4" fillId="2" borderId="4" xfId="0" applyNumberFormat="1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165" fontId="7" fillId="2" borderId="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65"/>
  <sheetViews>
    <sheetView tabSelected="1" topLeftCell="B1" workbookViewId="0">
      <selection activeCell="M152" sqref="M152"/>
    </sheetView>
  </sheetViews>
  <sheetFormatPr defaultRowHeight="15" x14ac:dyDescent="0.25"/>
  <cols>
    <col min="2" max="2" width="4" style="4" bestFit="1" customWidth="1"/>
    <col min="3" max="3" width="18" style="4" bestFit="1" customWidth="1"/>
    <col min="4" max="4" width="27.28515625" bestFit="1" customWidth="1"/>
    <col min="5" max="5" width="30.85546875" customWidth="1"/>
    <col min="6" max="6" width="19.140625" bestFit="1" customWidth="1"/>
    <col min="7" max="7" width="25.28515625" bestFit="1" customWidth="1"/>
    <col min="8" max="8" width="20" bestFit="1" customWidth="1"/>
    <col min="9" max="9" width="7.28515625" bestFit="1" customWidth="1"/>
    <col min="10" max="10" width="8.7109375" bestFit="1" customWidth="1"/>
    <col min="11" max="11" width="16.7109375" customWidth="1"/>
    <col min="12" max="12" width="8.140625" customWidth="1"/>
    <col min="13" max="13" width="19.140625" bestFit="1" customWidth="1"/>
    <col min="14" max="14" width="19.28515625" bestFit="1" customWidth="1"/>
    <col min="15" max="15" width="8.5703125" bestFit="1" customWidth="1"/>
  </cols>
  <sheetData>
    <row r="1" spans="1:15" ht="15.75" thickBot="1" x14ac:dyDescent="0.3">
      <c r="A1" s="1"/>
      <c r="B1" s="3"/>
      <c r="C1" s="3"/>
      <c r="D1" s="2"/>
      <c r="E1" s="2"/>
      <c r="F1" s="2"/>
      <c r="G1" s="2"/>
      <c r="H1" s="2"/>
      <c r="I1" s="19"/>
      <c r="J1" s="19"/>
      <c r="K1" s="19"/>
      <c r="L1" s="19"/>
      <c r="M1" s="19"/>
      <c r="N1" s="19"/>
      <c r="O1" s="20"/>
    </row>
    <row r="2" spans="1:15" ht="15.75" thickBot="1" x14ac:dyDescent="0.3">
      <c r="A2" s="1"/>
      <c r="B2" s="5" t="s">
        <v>0</v>
      </c>
      <c r="C2" s="5" t="s">
        <v>1</v>
      </c>
      <c r="D2" s="5" t="s">
        <v>37</v>
      </c>
      <c r="E2" s="5" t="s">
        <v>199</v>
      </c>
      <c r="F2" s="5" t="s">
        <v>354</v>
      </c>
      <c r="G2" s="5" t="s">
        <v>440</v>
      </c>
      <c r="H2" s="5" t="s">
        <v>568</v>
      </c>
      <c r="I2" s="5" t="s">
        <v>699</v>
      </c>
      <c r="J2" s="5" t="s">
        <v>691</v>
      </c>
      <c r="K2" s="5" t="s">
        <v>696</v>
      </c>
      <c r="L2" s="5" t="s">
        <v>692</v>
      </c>
      <c r="M2" s="5" t="s">
        <v>693</v>
      </c>
      <c r="N2" s="5" t="s">
        <v>694</v>
      </c>
      <c r="O2" s="5" t="s">
        <v>695</v>
      </c>
    </row>
    <row r="3" spans="1:15" x14ac:dyDescent="0.25">
      <c r="A3" s="1"/>
      <c r="B3" s="9">
        <f>ROW(B3) - ROW($B$2)</f>
        <v>1</v>
      </c>
      <c r="C3" s="13" t="s">
        <v>2</v>
      </c>
      <c r="D3" s="6" t="s">
        <v>38</v>
      </c>
      <c r="E3" s="6" t="s">
        <v>200</v>
      </c>
      <c r="F3" s="6" t="s">
        <v>355</v>
      </c>
      <c r="G3" s="6" t="s">
        <v>441</v>
      </c>
      <c r="H3" s="6" t="s">
        <v>569</v>
      </c>
      <c r="I3" s="6" t="s">
        <v>781</v>
      </c>
      <c r="J3" s="6">
        <v>1</v>
      </c>
      <c r="K3" s="6">
        <f>J3*5</f>
        <v>5</v>
      </c>
      <c r="L3" s="12" t="s">
        <v>700</v>
      </c>
      <c r="M3" s="7" t="s">
        <v>701</v>
      </c>
      <c r="N3" s="29">
        <f>M3*K3</f>
        <v>10.5</v>
      </c>
      <c r="O3" s="11"/>
    </row>
    <row r="4" spans="1:15" ht="192" x14ac:dyDescent="0.25">
      <c r="A4" s="1"/>
      <c r="B4" s="10">
        <f t="shared" ref="B4:B162" si="0">ROW(B4) - ROW($B$2)</f>
        <v>2</v>
      </c>
      <c r="C4" s="13" t="s">
        <v>3</v>
      </c>
      <c r="D4" s="12" t="s">
        <v>39</v>
      </c>
      <c r="E4" s="12" t="s">
        <v>201</v>
      </c>
      <c r="F4" s="12" t="s">
        <v>356</v>
      </c>
      <c r="G4" s="12" t="s">
        <v>442</v>
      </c>
      <c r="H4" s="12" t="s">
        <v>570</v>
      </c>
      <c r="I4" s="12" t="s">
        <v>633</v>
      </c>
      <c r="J4" s="12">
        <v>99</v>
      </c>
      <c r="K4" s="6">
        <f t="shared" ref="K4:K67" si="1">J4*5</f>
        <v>495</v>
      </c>
      <c r="L4" s="12" t="s">
        <v>700</v>
      </c>
      <c r="M4" s="7" t="s">
        <v>710</v>
      </c>
      <c r="N4" s="29">
        <f t="shared" ref="N4:N67" si="2">M4*K4</f>
        <v>5.2965</v>
      </c>
      <c r="O4" s="12"/>
    </row>
    <row r="5" spans="1:15" x14ac:dyDescent="0.25">
      <c r="A5" s="1"/>
      <c r="B5" s="9">
        <f>ROW(B5) - ROW($B$2)</f>
        <v>3</v>
      </c>
      <c r="C5" s="13" t="s">
        <v>3</v>
      </c>
      <c r="D5" s="6" t="s">
        <v>40</v>
      </c>
      <c r="E5" s="6" t="s">
        <v>202</v>
      </c>
      <c r="F5" s="6" t="s">
        <v>356</v>
      </c>
      <c r="G5" s="6" t="s">
        <v>443</v>
      </c>
      <c r="H5" s="6" t="s">
        <v>570</v>
      </c>
      <c r="I5" s="6" t="s">
        <v>634</v>
      </c>
      <c r="J5" s="6">
        <v>1</v>
      </c>
      <c r="K5" s="6">
        <f t="shared" si="1"/>
        <v>5</v>
      </c>
      <c r="L5" s="12" t="s">
        <v>700</v>
      </c>
      <c r="M5" s="7" t="s">
        <v>702</v>
      </c>
      <c r="N5" s="29">
        <f t="shared" si="2"/>
        <v>0.5</v>
      </c>
      <c r="O5" s="15"/>
    </row>
    <row r="6" spans="1:15" x14ac:dyDescent="0.25">
      <c r="A6" s="1"/>
      <c r="B6" s="10">
        <f t="shared" si="0"/>
        <v>4</v>
      </c>
      <c r="C6" s="14" t="s">
        <v>3</v>
      </c>
      <c r="D6" s="12" t="s">
        <v>41</v>
      </c>
      <c r="E6" s="12" t="s">
        <v>203</v>
      </c>
      <c r="F6" s="12" t="s">
        <v>357</v>
      </c>
      <c r="G6" s="12" t="s">
        <v>444</v>
      </c>
      <c r="H6" s="12" t="s">
        <v>570</v>
      </c>
      <c r="I6" s="12" t="s">
        <v>635</v>
      </c>
      <c r="J6" s="12">
        <v>4</v>
      </c>
      <c r="K6" s="6">
        <f t="shared" si="1"/>
        <v>20</v>
      </c>
      <c r="L6" s="12" t="s">
        <v>700</v>
      </c>
      <c r="M6" s="7" t="s">
        <v>711</v>
      </c>
      <c r="N6" s="29">
        <f t="shared" si="2"/>
        <v>4.18</v>
      </c>
      <c r="O6" s="15"/>
    </row>
    <row r="7" spans="1:15" x14ac:dyDescent="0.25">
      <c r="A7" s="1"/>
      <c r="B7" s="9">
        <f>ROW(B7) - ROW($B$2)</f>
        <v>5</v>
      </c>
      <c r="C7" s="13" t="s">
        <v>3</v>
      </c>
      <c r="D7" s="6" t="s">
        <v>42</v>
      </c>
      <c r="E7" s="6" t="s">
        <v>204</v>
      </c>
      <c r="F7" s="6" t="s">
        <v>356</v>
      </c>
      <c r="G7" s="6" t="s">
        <v>445</v>
      </c>
      <c r="H7" s="6" t="s">
        <v>570</v>
      </c>
      <c r="I7" s="6" t="s">
        <v>636</v>
      </c>
      <c r="J7" s="6">
        <v>4</v>
      </c>
      <c r="K7" s="6">
        <f t="shared" si="1"/>
        <v>20</v>
      </c>
      <c r="L7" s="12" t="s">
        <v>700</v>
      </c>
      <c r="M7" s="7" t="s">
        <v>712</v>
      </c>
      <c r="N7" s="29">
        <f t="shared" si="2"/>
        <v>2.9</v>
      </c>
      <c r="O7" s="15"/>
    </row>
    <row r="8" spans="1:15" x14ac:dyDescent="0.25">
      <c r="A8" s="1"/>
      <c r="B8" s="10">
        <f t="shared" si="0"/>
        <v>6</v>
      </c>
      <c r="C8" s="14" t="s">
        <v>3</v>
      </c>
      <c r="D8" s="12" t="s">
        <v>43</v>
      </c>
      <c r="E8" s="12" t="s">
        <v>782</v>
      </c>
      <c r="F8" s="12" t="s">
        <v>357</v>
      </c>
      <c r="G8" s="12" t="s">
        <v>446</v>
      </c>
      <c r="H8" s="12" t="s">
        <v>571</v>
      </c>
      <c r="I8" s="12" t="s">
        <v>637</v>
      </c>
      <c r="J8" s="12">
        <v>4</v>
      </c>
      <c r="K8" s="6">
        <f t="shared" si="1"/>
        <v>20</v>
      </c>
      <c r="L8" s="12" t="s">
        <v>700</v>
      </c>
      <c r="M8" s="7" t="s">
        <v>713</v>
      </c>
      <c r="N8" s="29">
        <f t="shared" si="2"/>
        <v>7.8800000000000008</v>
      </c>
      <c r="O8" s="15"/>
    </row>
    <row r="9" spans="1:15" x14ac:dyDescent="0.25">
      <c r="A9" s="1"/>
      <c r="B9" s="9">
        <f>ROW(B9) - ROW($B$2)</f>
        <v>7</v>
      </c>
      <c r="C9" s="13" t="s">
        <v>3</v>
      </c>
      <c r="D9" s="6" t="s">
        <v>44</v>
      </c>
      <c r="E9" s="6" t="s">
        <v>205</v>
      </c>
      <c r="F9" s="6" t="s">
        <v>358</v>
      </c>
      <c r="G9" s="6" t="s">
        <v>447</v>
      </c>
      <c r="H9" s="6" t="s">
        <v>572</v>
      </c>
      <c r="I9" s="6" t="s">
        <v>638</v>
      </c>
      <c r="J9" s="6">
        <v>3</v>
      </c>
      <c r="K9" s="6">
        <f t="shared" si="1"/>
        <v>15</v>
      </c>
      <c r="L9" s="12" t="s">
        <v>700</v>
      </c>
      <c r="M9" s="7" t="s">
        <v>714</v>
      </c>
      <c r="N9" s="29">
        <f t="shared" si="2"/>
        <v>2.6999999999999997</v>
      </c>
      <c r="O9" s="15"/>
    </row>
    <row r="10" spans="1:15" x14ac:dyDescent="0.25">
      <c r="A10" s="1"/>
      <c r="B10" s="10">
        <f t="shared" si="0"/>
        <v>8</v>
      </c>
      <c r="C10" s="13" t="s">
        <v>3</v>
      </c>
      <c r="D10" s="12" t="s">
        <v>45</v>
      </c>
      <c r="E10" s="12" t="s">
        <v>206</v>
      </c>
      <c r="F10" s="12" t="s">
        <v>356</v>
      </c>
      <c r="G10" s="12" t="s">
        <v>448</v>
      </c>
      <c r="H10" s="12" t="s">
        <v>570</v>
      </c>
      <c r="I10" s="12" t="s">
        <v>636</v>
      </c>
      <c r="J10" s="12">
        <v>3</v>
      </c>
      <c r="K10" s="6">
        <f t="shared" si="1"/>
        <v>15</v>
      </c>
      <c r="L10" s="12" t="s">
        <v>700</v>
      </c>
      <c r="M10" s="7" t="s">
        <v>715</v>
      </c>
      <c r="N10" s="29">
        <f t="shared" si="2"/>
        <v>2.5949999999999998</v>
      </c>
      <c r="O10" s="15"/>
    </row>
    <row r="11" spans="1:15" ht="24" x14ac:dyDescent="0.25">
      <c r="A11" s="1"/>
      <c r="B11" s="9">
        <f>ROW(B11) - ROW($B$2)</f>
        <v>9</v>
      </c>
      <c r="C11" s="13" t="s">
        <v>3</v>
      </c>
      <c r="D11" s="6" t="s">
        <v>46</v>
      </c>
      <c r="E11" s="6" t="s">
        <v>207</v>
      </c>
      <c r="F11" s="6" t="s">
        <v>359</v>
      </c>
      <c r="G11" s="6" t="s">
        <v>449</v>
      </c>
      <c r="H11" s="6" t="s">
        <v>573</v>
      </c>
      <c r="I11" s="6" t="s">
        <v>633</v>
      </c>
      <c r="J11" s="6">
        <v>13</v>
      </c>
      <c r="K11" s="6">
        <f t="shared" si="1"/>
        <v>65</v>
      </c>
      <c r="L11" s="12" t="s">
        <v>700</v>
      </c>
      <c r="M11" s="7" t="s">
        <v>716</v>
      </c>
      <c r="N11" s="29">
        <f t="shared" si="2"/>
        <v>2.262</v>
      </c>
      <c r="O11" s="15"/>
    </row>
    <row r="12" spans="1:15" x14ac:dyDescent="0.25">
      <c r="A12" s="1"/>
      <c r="B12" s="10">
        <f t="shared" si="0"/>
        <v>10</v>
      </c>
      <c r="C12" s="13" t="s">
        <v>3</v>
      </c>
      <c r="D12" s="12" t="s">
        <v>47</v>
      </c>
      <c r="E12" s="12" t="s">
        <v>208</v>
      </c>
      <c r="F12" s="12" t="s">
        <v>358</v>
      </c>
      <c r="G12" s="12" t="s">
        <v>450</v>
      </c>
      <c r="H12" s="12" t="s">
        <v>572</v>
      </c>
      <c r="I12" s="12" t="s">
        <v>639</v>
      </c>
      <c r="J12" s="12">
        <v>4</v>
      </c>
      <c r="K12" s="6">
        <f t="shared" si="1"/>
        <v>20</v>
      </c>
      <c r="L12" s="12" t="s">
        <v>700</v>
      </c>
      <c r="M12" s="7" t="s">
        <v>717</v>
      </c>
      <c r="N12" s="29">
        <f t="shared" si="2"/>
        <v>4.4800000000000004</v>
      </c>
      <c r="O12" s="15"/>
    </row>
    <row r="13" spans="1:15" x14ac:dyDescent="0.25">
      <c r="A13" s="1"/>
      <c r="B13" s="9">
        <f>ROW(B13) - ROW($B$2)</f>
        <v>11</v>
      </c>
      <c r="C13" s="13" t="s">
        <v>3</v>
      </c>
      <c r="D13" s="6" t="s">
        <v>48</v>
      </c>
      <c r="E13" s="6" t="s">
        <v>209</v>
      </c>
      <c r="F13" s="6" t="s">
        <v>357</v>
      </c>
      <c r="G13" s="6" t="s">
        <v>451</v>
      </c>
      <c r="H13" s="6" t="s">
        <v>572</v>
      </c>
      <c r="I13" s="6" t="s">
        <v>640</v>
      </c>
      <c r="J13" s="6">
        <v>4</v>
      </c>
      <c r="K13" s="6">
        <f t="shared" si="1"/>
        <v>20</v>
      </c>
      <c r="L13" s="12" t="s">
        <v>700</v>
      </c>
      <c r="M13" s="7" t="s">
        <v>718</v>
      </c>
      <c r="N13" s="29">
        <f t="shared" si="2"/>
        <v>14.74</v>
      </c>
      <c r="O13" s="15"/>
    </row>
    <row r="14" spans="1:15" x14ac:dyDescent="0.25">
      <c r="A14" s="1"/>
      <c r="B14" s="10">
        <f t="shared" si="0"/>
        <v>12</v>
      </c>
      <c r="C14" s="14" t="s">
        <v>3</v>
      </c>
      <c r="D14" s="12" t="s">
        <v>49</v>
      </c>
      <c r="E14" s="12" t="s">
        <v>210</v>
      </c>
      <c r="F14" s="12" t="s">
        <v>360</v>
      </c>
      <c r="G14" s="12" t="s">
        <v>452</v>
      </c>
      <c r="H14" s="12" t="s">
        <v>570</v>
      </c>
      <c r="I14" s="12" t="s">
        <v>641</v>
      </c>
      <c r="J14" s="12">
        <v>2</v>
      </c>
      <c r="K14" s="6">
        <f t="shared" si="1"/>
        <v>10</v>
      </c>
      <c r="L14" s="12" t="s">
        <v>700</v>
      </c>
      <c r="M14" s="7" t="s">
        <v>719</v>
      </c>
      <c r="N14" s="29">
        <f t="shared" si="2"/>
        <v>1.62</v>
      </c>
      <c r="O14" s="15"/>
    </row>
    <row r="15" spans="1:15" x14ac:dyDescent="0.25">
      <c r="A15" s="1"/>
      <c r="B15" s="9">
        <f>ROW(B15) - ROW($B$2)</f>
        <v>13</v>
      </c>
      <c r="C15" s="13" t="s">
        <v>3</v>
      </c>
      <c r="D15" s="6" t="s">
        <v>50</v>
      </c>
      <c r="E15" s="6" t="s">
        <v>211</v>
      </c>
      <c r="F15" s="6" t="s">
        <v>356</v>
      </c>
      <c r="G15" s="6" t="s">
        <v>453</v>
      </c>
      <c r="H15" s="6" t="s">
        <v>570</v>
      </c>
      <c r="I15" s="6" t="s">
        <v>642</v>
      </c>
      <c r="J15" s="6">
        <v>2</v>
      </c>
      <c r="K15" s="6">
        <f t="shared" si="1"/>
        <v>10</v>
      </c>
      <c r="L15" s="12" t="s">
        <v>700</v>
      </c>
      <c r="M15" s="7" t="s">
        <v>720</v>
      </c>
      <c r="N15" s="29">
        <f t="shared" si="2"/>
        <v>0.21000000000000002</v>
      </c>
      <c r="O15" s="15"/>
    </row>
    <row r="16" spans="1:15" x14ac:dyDescent="0.25">
      <c r="A16" s="1"/>
      <c r="B16" s="10">
        <f t="shared" si="0"/>
        <v>14</v>
      </c>
      <c r="C16" s="14" t="s">
        <v>3</v>
      </c>
      <c r="D16" s="12" t="s">
        <v>51</v>
      </c>
      <c r="E16" s="12" t="s">
        <v>212</v>
      </c>
      <c r="F16" s="12" t="s">
        <v>356</v>
      </c>
      <c r="G16" s="12" t="s">
        <v>454</v>
      </c>
      <c r="H16" s="12" t="s">
        <v>570</v>
      </c>
      <c r="I16" s="12" t="s">
        <v>643</v>
      </c>
      <c r="J16" s="12">
        <v>2</v>
      </c>
      <c r="K16" s="6">
        <f t="shared" si="1"/>
        <v>10</v>
      </c>
      <c r="L16" s="12" t="s">
        <v>700</v>
      </c>
      <c r="M16" s="7" t="s">
        <v>721</v>
      </c>
      <c r="N16" s="29">
        <f t="shared" si="2"/>
        <v>0.32</v>
      </c>
      <c r="O16" s="15"/>
    </row>
    <row r="17" spans="1:15" x14ac:dyDescent="0.25">
      <c r="A17" s="1"/>
      <c r="B17" s="9">
        <f>ROW(B17) - ROW($B$2)</f>
        <v>15</v>
      </c>
      <c r="C17" s="13" t="s">
        <v>3</v>
      </c>
      <c r="D17" s="6" t="s">
        <v>52</v>
      </c>
      <c r="E17" s="6" t="s">
        <v>213</v>
      </c>
      <c r="F17" s="6" t="s">
        <v>356</v>
      </c>
      <c r="G17" s="6" t="s">
        <v>455</v>
      </c>
      <c r="H17" s="6" t="s">
        <v>572</v>
      </c>
      <c r="I17" s="6" t="s">
        <v>644</v>
      </c>
      <c r="J17" s="6">
        <v>2</v>
      </c>
      <c r="K17" s="6">
        <f t="shared" si="1"/>
        <v>10</v>
      </c>
      <c r="L17" s="12" t="s">
        <v>700</v>
      </c>
      <c r="M17" s="7" t="s">
        <v>722</v>
      </c>
      <c r="N17" s="29">
        <f t="shared" si="2"/>
        <v>0.25</v>
      </c>
      <c r="O17" s="15"/>
    </row>
    <row r="18" spans="1:15" x14ac:dyDescent="0.25">
      <c r="A18" s="1"/>
      <c r="B18" s="10">
        <f t="shared" si="0"/>
        <v>16</v>
      </c>
      <c r="C18" s="14" t="s">
        <v>3</v>
      </c>
      <c r="D18" s="12" t="s">
        <v>53</v>
      </c>
      <c r="E18" s="12" t="s">
        <v>214</v>
      </c>
      <c r="F18" s="12" t="s">
        <v>361</v>
      </c>
      <c r="G18" s="12" t="s">
        <v>456</v>
      </c>
      <c r="H18" s="12" t="s">
        <v>574</v>
      </c>
      <c r="I18" s="12" t="s">
        <v>645</v>
      </c>
      <c r="J18" s="12">
        <v>1</v>
      </c>
      <c r="K18" s="6">
        <f t="shared" si="1"/>
        <v>5</v>
      </c>
      <c r="L18" s="12" t="s">
        <v>700</v>
      </c>
      <c r="M18" s="7" t="s">
        <v>704</v>
      </c>
      <c r="N18" s="29">
        <f t="shared" si="2"/>
        <v>11.850000000000001</v>
      </c>
      <c r="O18" s="15"/>
    </row>
    <row r="19" spans="1:15" x14ac:dyDescent="0.25">
      <c r="A19" s="1"/>
      <c r="B19" s="9">
        <f>ROW(B19) - ROW($B$2)</f>
        <v>17</v>
      </c>
      <c r="C19" s="13" t="s">
        <v>3</v>
      </c>
      <c r="D19" s="6" t="s">
        <v>54</v>
      </c>
      <c r="E19" s="6" t="s">
        <v>215</v>
      </c>
      <c r="F19" s="6" t="s">
        <v>356</v>
      </c>
      <c r="G19" s="6" t="s">
        <v>457</v>
      </c>
      <c r="H19" s="6" t="s">
        <v>572</v>
      </c>
      <c r="I19" s="6" t="s">
        <v>646</v>
      </c>
      <c r="J19" s="6">
        <v>1</v>
      </c>
      <c r="K19" s="6">
        <f t="shared" si="1"/>
        <v>5</v>
      </c>
      <c r="L19" s="12" t="s">
        <v>700</v>
      </c>
      <c r="M19" s="7" t="s">
        <v>702</v>
      </c>
      <c r="N19" s="29">
        <f t="shared" si="2"/>
        <v>0.5</v>
      </c>
      <c r="O19" s="15"/>
    </row>
    <row r="20" spans="1:15" x14ac:dyDescent="0.25">
      <c r="A20" s="1"/>
      <c r="B20" s="10">
        <f t="shared" si="0"/>
        <v>18</v>
      </c>
      <c r="C20" s="14" t="s">
        <v>3</v>
      </c>
      <c r="D20" s="12" t="s">
        <v>55</v>
      </c>
      <c r="E20" s="12" t="s">
        <v>216</v>
      </c>
      <c r="F20" s="12" t="s">
        <v>356</v>
      </c>
      <c r="G20" s="12" t="s">
        <v>458</v>
      </c>
      <c r="H20" s="12" t="s">
        <v>572</v>
      </c>
      <c r="I20" s="12" t="s">
        <v>647</v>
      </c>
      <c r="J20" s="12">
        <v>1</v>
      </c>
      <c r="K20" s="6">
        <f t="shared" si="1"/>
        <v>5</v>
      </c>
      <c r="L20" s="12" t="s">
        <v>700</v>
      </c>
      <c r="M20" s="7" t="s">
        <v>702</v>
      </c>
      <c r="N20" s="29">
        <f t="shared" si="2"/>
        <v>0.5</v>
      </c>
      <c r="O20" s="15"/>
    </row>
    <row r="21" spans="1:15" x14ac:dyDescent="0.25">
      <c r="A21" s="1"/>
      <c r="B21" s="9">
        <f>ROW(B21) - ROW($B$2)</f>
        <v>19</v>
      </c>
      <c r="C21" s="13" t="s">
        <v>3</v>
      </c>
      <c r="D21" s="6" t="s">
        <v>56</v>
      </c>
      <c r="E21" s="6" t="s">
        <v>217</v>
      </c>
      <c r="F21" s="6" t="s">
        <v>362</v>
      </c>
      <c r="G21" s="6" t="s">
        <v>459</v>
      </c>
      <c r="H21" s="6" t="s">
        <v>574</v>
      </c>
      <c r="I21" s="6" t="s">
        <v>637</v>
      </c>
      <c r="J21" s="6">
        <v>2</v>
      </c>
      <c r="K21" s="6">
        <f t="shared" si="1"/>
        <v>10</v>
      </c>
      <c r="L21" s="12" t="s">
        <v>700</v>
      </c>
      <c r="M21" s="7" t="s">
        <v>723</v>
      </c>
      <c r="N21" s="29">
        <f t="shared" si="2"/>
        <v>4.8499999999999996</v>
      </c>
      <c r="O21" s="15"/>
    </row>
    <row r="22" spans="1:15" x14ac:dyDescent="0.25">
      <c r="A22" s="1"/>
      <c r="B22" s="10">
        <f t="shared" si="0"/>
        <v>20</v>
      </c>
      <c r="C22" s="14" t="s">
        <v>3</v>
      </c>
      <c r="D22" s="12" t="s">
        <v>57</v>
      </c>
      <c r="E22" s="12" t="s">
        <v>218</v>
      </c>
      <c r="F22" s="12" t="s">
        <v>356</v>
      </c>
      <c r="G22" s="12" t="s">
        <v>460</v>
      </c>
      <c r="H22" s="12" t="s">
        <v>570</v>
      </c>
      <c r="I22" s="12" t="s">
        <v>639</v>
      </c>
      <c r="J22" s="12">
        <v>1</v>
      </c>
      <c r="K22" s="6">
        <f t="shared" si="1"/>
        <v>5</v>
      </c>
      <c r="L22" s="12" t="s">
        <v>700</v>
      </c>
      <c r="M22" s="7" t="s">
        <v>705</v>
      </c>
      <c r="N22" s="29">
        <f t="shared" si="2"/>
        <v>1.3</v>
      </c>
      <c r="O22" s="15"/>
    </row>
    <row r="23" spans="1:15" x14ac:dyDescent="0.25">
      <c r="A23" s="1"/>
      <c r="B23" s="9">
        <f>ROW(B23) - ROW($B$2)</f>
        <v>21</v>
      </c>
      <c r="C23" s="13" t="s">
        <v>3</v>
      </c>
      <c r="D23" s="6" t="s">
        <v>58</v>
      </c>
      <c r="E23" s="6" t="s">
        <v>219</v>
      </c>
      <c r="F23" s="6" t="s">
        <v>356</v>
      </c>
      <c r="G23" s="6" t="s">
        <v>461</v>
      </c>
      <c r="H23" s="6" t="s">
        <v>570</v>
      </c>
      <c r="I23" s="6" t="s">
        <v>648</v>
      </c>
      <c r="J23" s="6">
        <v>2</v>
      </c>
      <c r="K23" s="6">
        <f t="shared" si="1"/>
        <v>10</v>
      </c>
      <c r="L23" s="12" t="s">
        <v>700</v>
      </c>
      <c r="M23" s="7" t="s">
        <v>706</v>
      </c>
      <c r="N23" s="29">
        <f t="shared" si="2"/>
        <v>0.25940000000000002</v>
      </c>
      <c r="O23" s="15"/>
    </row>
    <row r="24" spans="1:15" ht="36" x14ac:dyDescent="0.25">
      <c r="A24" s="1"/>
      <c r="B24" s="10">
        <f t="shared" si="0"/>
        <v>22</v>
      </c>
      <c r="C24" s="14" t="s">
        <v>3</v>
      </c>
      <c r="D24" s="12" t="s">
        <v>59</v>
      </c>
      <c r="E24" s="12" t="s">
        <v>220</v>
      </c>
      <c r="F24" s="12" t="s">
        <v>363</v>
      </c>
      <c r="G24" s="12" t="s">
        <v>462</v>
      </c>
      <c r="H24" s="12" t="s">
        <v>573</v>
      </c>
      <c r="I24" s="12" t="s">
        <v>639</v>
      </c>
      <c r="J24" s="12">
        <v>13</v>
      </c>
      <c r="K24" s="6">
        <f t="shared" si="1"/>
        <v>65</v>
      </c>
      <c r="L24" s="12" t="s">
        <v>700</v>
      </c>
      <c r="M24" s="7" t="s">
        <v>724</v>
      </c>
      <c r="N24" s="29">
        <f t="shared" si="2"/>
        <v>15.21</v>
      </c>
      <c r="O24" s="15"/>
    </row>
    <row r="25" spans="1:15" ht="24" x14ac:dyDescent="0.25">
      <c r="A25" s="1"/>
      <c r="B25" s="9">
        <f>ROW(B25) - ROW($B$2)</f>
        <v>23</v>
      </c>
      <c r="C25" s="14" t="s">
        <v>3</v>
      </c>
      <c r="D25" s="6" t="s">
        <v>60</v>
      </c>
      <c r="E25" s="6" t="s">
        <v>221</v>
      </c>
      <c r="F25" s="6" t="s">
        <v>356</v>
      </c>
      <c r="G25" s="6" t="s">
        <v>463</v>
      </c>
      <c r="H25" s="6" t="s">
        <v>570</v>
      </c>
      <c r="I25" s="6" t="s">
        <v>649</v>
      </c>
      <c r="J25" s="6">
        <v>9</v>
      </c>
      <c r="K25" s="6">
        <f t="shared" si="1"/>
        <v>45</v>
      </c>
      <c r="L25" s="12" t="s">
        <v>700</v>
      </c>
      <c r="M25" s="7" t="s">
        <v>725</v>
      </c>
      <c r="N25" s="29">
        <f t="shared" si="2"/>
        <v>3.69</v>
      </c>
      <c r="O25" s="15"/>
    </row>
    <row r="26" spans="1:15" x14ac:dyDescent="0.25">
      <c r="A26" s="1"/>
      <c r="B26" s="10">
        <f t="shared" si="0"/>
        <v>24</v>
      </c>
      <c r="C26" s="14" t="s">
        <v>3</v>
      </c>
      <c r="D26" s="12" t="s">
        <v>61</v>
      </c>
      <c r="E26" s="12" t="s">
        <v>203</v>
      </c>
      <c r="F26" s="12" t="s">
        <v>357</v>
      </c>
      <c r="G26" s="12" t="s">
        <v>444</v>
      </c>
      <c r="H26" s="12" t="s">
        <v>570</v>
      </c>
      <c r="I26" s="12" t="s">
        <v>642</v>
      </c>
      <c r="J26" s="12">
        <v>4</v>
      </c>
      <c r="K26" s="6">
        <f t="shared" si="1"/>
        <v>20</v>
      </c>
      <c r="L26" s="12" t="s">
        <v>700</v>
      </c>
      <c r="M26" s="7" t="s">
        <v>711</v>
      </c>
      <c r="N26" s="29">
        <f t="shared" si="2"/>
        <v>4.18</v>
      </c>
      <c r="O26" s="15"/>
    </row>
    <row r="27" spans="1:15" x14ac:dyDescent="0.25">
      <c r="A27" s="1"/>
      <c r="B27" s="9">
        <f>ROW(B27) - ROW($B$2)</f>
        <v>25</v>
      </c>
      <c r="C27" s="14" t="s">
        <v>3</v>
      </c>
      <c r="D27" s="6" t="s">
        <v>62</v>
      </c>
      <c r="E27" s="6" t="s">
        <v>222</v>
      </c>
      <c r="F27" s="6" t="s">
        <v>356</v>
      </c>
      <c r="G27" s="6" t="s">
        <v>464</v>
      </c>
      <c r="H27" s="6" t="s">
        <v>572</v>
      </c>
      <c r="I27" s="6" t="s">
        <v>650</v>
      </c>
      <c r="J27" s="6">
        <v>4</v>
      </c>
      <c r="K27" s="6">
        <f t="shared" si="1"/>
        <v>20</v>
      </c>
      <c r="L27" s="12" t="s">
        <v>700</v>
      </c>
      <c r="M27" s="7" t="s">
        <v>726</v>
      </c>
      <c r="N27" s="29">
        <f t="shared" si="2"/>
        <v>2.58</v>
      </c>
      <c r="O27" s="15"/>
    </row>
    <row r="28" spans="1:15" x14ac:dyDescent="0.25">
      <c r="A28" s="1"/>
      <c r="B28" s="10">
        <f t="shared" si="0"/>
        <v>26</v>
      </c>
      <c r="C28" s="14" t="s">
        <v>3</v>
      </c>
      <c r="D28" s="12" t="s">
        <v>63</v>
      </c>
      <c r="E28" s="12" t="s">
        <v>223</v>
      </c>
      <c r="F28" s="12" t="s">
        <v>358</v>
      </c>
      <c r="G28" s="12" t="s">
        <v>465</v>
      </c>
      <c r="H28" s="12" t="s">
        <v>573</v>
      </c>
      <c r="I28" s="12" t="s">
        <v>641</v>
      </c>
      <c r="J28" s="12">
        <v>1</v>
      </c>
      <c r="K28" s="6">
        <f t="shared" si="1"/>
        <v>5</v>
      </c>
      <c r="L28" s="12" t="s">
        <v>700</v>
      </c>
      <c r="M28" s="7" t="s">
        <v>708</v>
      </c>
      <c r="N28" s="29">
        <f t="shared" si="2"/>
        <v>2.15</v>
      </c>
      <c r="O28" s="15"/>
    </row>
    <row r="29" spans="1:15" x14ac:dyDescent="0.25">
      <c r="A29" s="1"/>
      <c r="B29" s="9">
        <f>ROW(B29) - ROW($B$2)</f>
        <v>27</v>
      </c>
      <c r="C29" s="14" t="s">
        <v>3</v>
      </c>
      <c r="D29" s="6" t="s">
        <v>64</v>
      </c>
      <c r="E29" s="6" t="s">
        <v>224</v>
      </c>
      <c r="F29" s="6" t="s">
        <v>364</v>
      </c>
      <c r="G29" s="6" t="s">
        <v>466</v>
      </c>
      <c r="H29" s="6" t="s">
        <v>570</v>
      </c>
      <c r="I29" s="6" t="s">
        <v>636</v>
      </c>
      <c r="J29" s="6">
        <v>1</v>
      </c>
      <c r="K29" s="6">
        <f t="shared" si="1"/>
        <v>5</v>
      </c>
      <c r="L29" s="12" t="s">
        <v>700</v>
      </c>
      <c r="M29" s="7" t="s">
        <v>707</v>
      </c>
      <c r="N29" s="29">
        <f t="shared" si="2"/>
        <v>0.95</v>
      </c>
      <c r="O29" s="15"/>
    </row>
    <row r="30" spans="1:15" x14ac:dyDescent="0.25">
      <c r="A30" s="1"/>
      <c r="B30" s="10">
        <f t="shared" si="0"/>
        <v>28</v>
      </c>
      <c r="C30" s="14" t="s">
        <v>3</v>
      </c>
      <c r="D30" s="12" t="s">
        <v>65</v>
      </c>
      <c r="E30" s="12" t="s">
        <v>225</v>
      </c>
      <c r="F30" s="12" t="s">
        <v>356</v>
      </c>
      <c r="G30" s="12" t="s">
        <v>467</v>
      </c>
      <c r="H30" s="12" t="s">
        <v>575</v>
      </c>
      <c r="I30" s="12" t="s">
        <v>651</v>
      </c>
      <c r="J30" s="12">
        <v>2</v>
      </c>
      <c r="K30" s="6">
        <f t="shared" si="1"/>
        <v>10</v>
      </c>
      <c r="L30" s="12" t="s">
        <v>700</v>
      </c>
      <c r="M30" s="7" t="s">
        <v>727</v>
      </c>
      <c r="N30" s="29">
        <f t="shared" si="2"/>
        <v>0.15</v>
      </c>
      <c r="O30" s="15"/>
    </row>
    <row r="31" spans="1:15" x14ac:dyDescent="0.25">
      <c r="A31" s="1"/>
      <c r="B31" s="9">
        <f>ROW(B31) - ROW($B$2)</f>
        <v>29</v>
      </c>
      <c r="C31" s="14" t="s">
        <v>3</v>
      </c>
      <c r="D31" s="6" t="s">
        <v>66</v>
      </c>
      <c r="E31" s="6" t="s">
        <v>226</v>
      </c>
      <c r="F31" s="6" t="s">
        <v>356</v>
      </c>
      <c r="G31" s="6" t="s">
        <v>468</v>
      </c>
      <c r="H31" s="6" t="s">
        <v>570</v>
      </c>
      <c r="I31" s="6" t="s">
        <v>652</v>
      </c>
      <c r="J31" s="6">
        <v>2</v>
      </c>
      <c r="K31" s="6">
        <f t="shared" si="1"/>
        <v>10</v>
      </c>
      <c r="L31" s="12" t="s">
        <v>700</v>
      </c>
      <c r="M31" s="7" t="s">
        <v>728</v>
      </c>
      <c r="N31" s="29">
        <f t="shared" si="2"/>
        <v>0.37</v>
      </c>
      <c r="O31" s="15"/>
    </row>
    <row r="32" spans="1:15" x14ac:dyDescent="0.25">
      <c r="A32" s="1"/>
      <c r="B32" s="10">
        <f t="shared" si="0"/>
        <v>30</v>
      </c>
      <c r="C32" s="14" t="s">
        <v>3</v>
      </c>
      <c r="D32" s="12" t="s">
        <v>67</v>
      </c>
      <c r="E32" s="12" t="s">
        <v>227</v>
      </c>
      <c r="F32" s="12" t="s">
        <v>363</v>
      </c>
      <c r="G32" s="12" t="s">
        <v>469</v>
      </c>
      <c r="H32" s="12" t="s">
        <v>570</v>
      </c>
      <c r="I32" s="12" t="s">
        <v>653</v>
      </c>
      <c r="J32" s="12">
        <v>1</v>
      </c>
      <c r="K32" s="6">
        <f t="shared" si="1"/>
        <v>5</v>
      </c>
      <c r="L32" s="12" t="s">
        <v>700</v>
      </c>
      <c r="M32" s="7" t="s">
        <v>709</v>
      </c>
      <c r="N32" s="29">
        <f t="shared" si="2"/>
        <v>0.85000000000000009</v>
      </c>
      <c r="O32" s="15"/>
    </row>
    <row r="33" spans="1:15" ht="48" x14ac:dyDescent="0.25">
      <c r="A33" s="1"/>
      <c r="B33" s="9">
        <f>ROW(B33) - ROW($B$2)</f>
        <v>31</v>
      </c>
      <c r="C33" s="13" t="s">
        <v>4</v>
      </c>
      <c r="D33" s="6" t="s">
        <v>68</v>
      </c>
      <c r="E33" s="6" t="s">
        <v>228</v>
      </c>
      <c r="F33" s="6" t="s">
        <v>365</v>
      </c>
      <c r="G33" s="6" t="s">
        <v>470</v>
      </c>
      <c r="H33" s="6" t="s">
        <v>576</v>
      </c>
      <c r="I33" s="6" t="s">
        <v>781</v>
      </c>
      <c r="J33" s="6">
        <v>26</v>
      </c>
      <c r="K33" s="6">
        <f t="shared" si="1"/>
        <v>130</v>
      </c>
      <c r="L33" s="12" t="s">
        <v>783</v>
      </c>
      <c r="M33" s="7">
        <v>1.4800000000000001E-2</v>
      </c>
      <c r="N33" s="29">
        <f t="shared" si="2"/>
        <v>1.9240000000000002</v>
      </c>
      <c r="O33" s="15"/>
    </row>
    <row r="34" spans="1:15" ht="24" x14ac:dyDescent="0.25">
      <c r="A34" s="1"/>
      <c r="B34" s="10">
        <f t="shared" si="0"/>
        <v>32</v>
      </c>
      <c r="C34" s="13" t="s">
        <v>4</v>
      </c>
      <c r="D34" s="12" t="s">
        <v>69</v>
      </c>
      <c r="E34" s="12" t="s">
        <v>229</v>
      </c>
      <c r="F34" s="12" t="s">
        <v>366</v>
      </c>
      <c r="G34" s="12" t="s">
        <v>471</v>
      </c>
      <c r="H34" s="12" t="s">
        <v>577</v>
      </c>
      <c r="I34" s="6" t="s">
        <v>781</v>
      </c>
      <c r="J34" s="12">
        <v>2</v>
      </c>
      <c r="K34" s="6">
        <f t="shared" si="1"/>
        <v>10</v>
      </c>
      <c r="L34" s="12" t="s">
        <v>783</v>
      </c>
      <c r="M34" s="7">
        <v>6.6699999999999995E-2</v>
      </c>
      <c r="N34" s="29">
        <f t="shared" si="2"/>
        <v>0.66699999999999993</v>
      </c>
      <c r="O34" s="15"/>
    </row>
    <row r="35" spans="1:15" x14ac:dyDescent="0.25">
      <c r="A35" s="1"/>
      <c r="B35" s="9">
        <f>ROW(B35) - ROW($B$2)</f>
        <v>33</v>
      </c>
      <c r="C35" s="13" t="s">
        <v>4</v>
      </c>
      <c r="D35" s="6" t="s">
        <v>70</v>
      </c>
      <c r="E35" s="6" t="s">
        <v>230</v>
      </c>
      <c r="F35" s="6" t="s">
        <v>367</v>
      </c>
      <c r="G35" s="6" t="s">
        <v>472</v>
      </c>
      <c r="H35" s="6" t="s">
        <v>578</v>
      </c>
      <c r="I35" s="6" t="s">
        <v>781</v>
      </c>
      <c r="J35" s="6">
        <v>1</v>
      </c>
      <c r="K35" s="6">
        <f t="shared" si="1"/>
        <v>5</v>
      </c>
      <c r="L35" s="12" t="s">
        <v>700</v>
      </c>
      <c r="M35" s="7" t="s">
        <v>729</v>
      </c>
      <c r="N35" s="29">
        <f t="shared" si="2"/>
        <v>1.85</v>
      </c>
      <c r="O35" s="15"/>
    </row>
    <row r="36" spans="1:15" x14ac:dyDescent="0.25">
      <c r="A36" s="1"/>
      <c r="B36" s="10">
        <f t="shared" si="0"/>
        <v>34</v>
      </c>
      <c r="C36" s="13" t="s">
        <v>4</v>
      </c>
      <c r="D36" s="12" t="s">
        <v>71</v>
      </c>
      <c r="E36" s="12" t="s">
        <v>231</v>
      </c>
      <c r="F36" s="12" t="s">
        <v>368</v>
      </c>
      <c r="G36" s="12" t="s">
        <v>473</v>
      </c>
      <c r="H36" s="12" t="s">
        <v>579</v>
      </c>
      <c r="I36" s="6" t="s">
        <v>781</v>
      </c>
      <c r="J36" s="12">
        <v>4</v>
      </c>
      <c r="K36" s="6">
        <f t="shared" si="1"/>
        <v>20</v>
      </c>
      <c r="L36" s="12" t="s">
        <v>700</v>
      </c>
      <c r="M36" s="7" t="s">
        <v>730</v>
      </c>
      <c r="N36" s="29">
        <f t="shared" si="2"/>
        <v>6.1</v>
      </c>
      <c r="O36" s="15"/>
    </row>
    <row r="37" spans="1:15" x14ac:dyDescent="0.25">
      <c r="A37" s="1"/>
      <c r="B37" s="9">
        <f>ROW(B37) - ROW($B$2)</f>
        <v>35</v>
      </c>
      <c r="C37" s="13" t="s">
        <v>4</v>
      </c>
      <c r="D37" s="6" t="s">
        <v>72</v>
      </c>
      <c r="E37" s="6" t="s">
        <v>232</v>
      </c>
      <c r="F37" s="6" t="s">
        <v>369</v>
      </c>
      <c r="G37" s="6" t="s">
        <v>474</v>
      </c>
      <c r="H37" s="6" t="s">
        <v>580</v>
      </c>
      <c r="I37" s="6" t="s">
        <v>781</v>
      </c>
      <c r="J37" s="6">
        <v>1</v>
      </c>
      <c r="K37" s="6">
        <f t="shared" si="1"/>
        <v>5</v>
      </c>
      <c r="L37" s="12" t="s">
        <v>700</v>
      </c>
      <c r="M37" s="7" t="s">
        <v>731</v>
      </c>
      <c r="N37" s="29">
        <f t="shared" si="2"/>
        <v>1.05</v>
      </c>
      <c r="O37" s="15"/>
    </row>
    <row r="38" spans="1:15" ht="36" x14ac:dyDescent="0.25">
      <c r="A38" s="1"/>
      <c r="B38" s="10">
        <f t="shared" si="0"/>
        <v>36</v>
      </c>
      <c r="C38" s="13" t="s">
        <v>4</v>
      </c>
      <c r="D38" s="12" t="s">
        <v>73</v>
      </c>
      <c r="E38" s="12" t="s">
        <v>233</v>
      </c>
      <c r="F38" s="12" t="s">
        <v>365</v>
      </c>
      <c r="G38" s="12" t="s">
        <v>475</v>
      </c>
      <c r="H38" s="12" t="s">
        <v>576</v>
      </c>
      <c r="I38" s="6" t="s">
        <v>781</v>
      </c>
      <c r="J38" s="12">
        <v>21</v>
      </c>
      <c r="K38" s="6">
        <f t="shared" si="1"/>
        <v>105</v>
      </c>
      <c r="L38" s="12" t="s">
        <v>783</v>
      </c>
      <c r="M38" s="7">
        <v>2.0299999999999999E-2</v>
      </c>
      <c r="N38" s="29">
        <f t="shared" si="2"/>
        <v>2.1315</v>
      </c>
      <c r="O38" s="15"/>
    </row>
    <row r="39" spans="1:15" ht="24" x14ac:dyDescent="0.25">
      <c r="A39" s="1"/>
      <c r="B39" s="9">
        <f>ROW(B39) - ROW($B$2)</f>
        <v>37</v>
      </c>
      <c r="C39" s="13" t="s">
        <v>4</v>
      </c>
      <c r="D39" s="6" t="s">
        <v>74</v>
      </c>
      <c r="E39" s="6" t="s">
        <v>234</v>
      </c>
      <c r="F39" s="6" t="s">
        <v>370</v>
      </c>
      <c r="G39" s="6" t="s">
        <v>476</v>
      </c>
      <c r="H39" s="6" t="s">
        <v>577</v>
      </c>
      <c r="I39" s="6" t="s">
        <v>781</v>
      </c>
      <c r="J39" s="6">
        <v>1</v>
      </c>
      <c r="K39" s="6">
        <f t="shared" si="1"/>
        <v>5</v>
      </c>
      <c r="L39" s="12" t="s">
        <v>783</v>
      </c>
      <c r="M39" s="7">
        <v>8.6400000000000005E-2</v>
      </c>
      <c r="N39" s="29">
        <f t="shared" si="2"/>
        <v>0.43200000000000005</v>
      </c>
      <c r="O39" s="15"/>
    </row>
    <row r="40" spans="1:15" ht="36" x14ac:dyDescent="0.25">
      <c r="A40" s="1"/>
      <c r="B40" s="10">
        <f t="shared" si="0"/>
        <v>38</v>
      </c>
      <c r="C40" s="14" t="s">
        <v>4</v>
      </c>
      <c r="D40" s="12" t="s">
        <v>75</v>
      </c>
      <c r="E40" s="12" t="s">
        <v>235</v>
      </c>
      <c r="F40" s="12" t="s">
        <v>365</v>
      </c>
      <c r="G40" s="12" t="s">
        <v>477</v>
      </c>
      <c r="H40" s="12" t="s">
        <v>581</v>
      </c>
      <c r="I40" s="6" t="s">
        <v>781</v>
      </c>
      <c r="J40" s="12">
        <v>2</v>
      </c>
      <c r="K40" s="6">
        <f t="shared" si="1"/>
        <v>10</v>
      </c>
      <c r="L40" s="12" t="s">
        <v>783</v>
      </c>
      <c r="M40" s="7">
        <v>3.1699999999999999E-2</v>
      </c>
      <c r="N40" s="29">
        <f t="shared" si="2"/>
        <v>0.317</v>
      </c>
      <c r="O40" s="15"/>
    </row>
    <row r="41" spans="1:15" x14ac:dyDescent="0.25">
      <c r="A41" s="1"/>
      <c r="B41" s="9">
        <f>ROW(B41) - ROW($B$2)</f>
        <v>39</v>
      </c>
      <c r="C41" s="13" t="s">
        <v>5</v>
      </c>
      <c r="D41" s="6" t="s">
        <v>76</v>
      </c>
      <c r="E41" s="6" t="s">
        <v>236</v>
      </c>
      <c r="F41" s="6" t="s">
        <v>371</v>
      </c>
      <c r="G41" s="6" t="s">
        <v>478</v>
      </c>
      <c r="H41" s="6" t="s">
        <v>578</v>
      </c>
      <c r="I41" s="6" t="s">
        <v>781</v>
      </c>
      <c r="J41" s="6">
        <v>2</v>
      </c>
      <c r="K41" s="6">
        <f t="shared" si="1"/>
        <v>10</v>
      </c>
      <c r="L41" s="12" t="s">
        <v>700</v>
      </c>
      <c r="M41" s="7" t="s">
        <v>732</v>
      </c>
      <c r="N41" s="29">
        <f t="shared" si="2"/>
        <v>2.38</v>
      </c>
      <c r="O41" s="15"/>
    </row>
    <row r="42" spans="1:15" ht="36" x14ac:dyDescent="0.25">
      <c r="A42" s="1"/>
      <c r="B42" s="10">
        <f t="shared" si="0"/>
        <v>40</v>
      </c>
      <c r="C42" s="14" t="s">
        <v>4</v>
      </c>
      <c r="D42" s="12" t="s">
        <v>77</v>
      </c>
      <c r="E42" s="12" t="s">
        <v>237</v>
      </c>
      <c r="F42" s="12" t="s">
        <v>372</v>
      </c>
      <c r="G42" s="12" t="s">
        <v>479</v>
      </c>
      <c r="H42" s="12" t="s">
        <v>582</v>
      </c>
      <c r="I42" s="6" t="s">
        <v>781</v>
      </c>
      <c r="J42" s="12">
        <v>1</v>
      </c>
      <c r="K42" s="6">
        <f t="shared" si="1"/>
        <v>5</v>
      </c>
      <c r="L42" s="12" t="s">
        <v>700</v>
      </c>
      <c r="M42" s="7">
        <v>0.65</v>
      </c>
      <c r="N42" s="29">
        <f t="shared" si="2"/>
        <v>3.25</v>
      </c>
      <c r="O42" s="15"/>
    </row>
    <row r="43" spans="1:15" x14ac:dyDescent="0.25">
      <c r="A43" s="1"/>
      <c r="B43" s="9">
        <f>ROW(B43) - ROW($B$2)</f>
        <v>41</v>
      </c>
      <c r="C43" s="13" t="s">
        <v>6</v>
      </c>
      <c r="D43" s="6" t="s">
        <v>78</v>
      </c>
      <c r="E43" s="6" t="s">
        <v>238</v>
      </c>
      <c r="F43" s="6" t="s">
        <v>373</v>
      </c>
      <c r="G43" s="6" t="s">
        <v>480</v>
      </c>
      <c r="H43" s="6" t="s">
        <v>583</v>
      </c>
      <c r="I43" s="6" t="s">
        <v>781</v>
      </c>
      <c r="J43" s="6">
        <v>1</v>
      </c>
      <c r="K43" s="6">
        <f t="shared" si="1"/>
        <v>5</v>
      </c>
      <c r="L43" s="12" t="s">
        <v>700</v>
      </c>
      <c r="M43" s="7" t="s">
        <v>733</v>
      </c>
      <c r="N43" s="29">
        <f t="shared" si="2"/>
        <v>7.8900000000000006</v>
      </c>
      <c r="O43" s="15"/>
    </row>
    <row r="44" spans="1:15" ht="24" x14ac:dyDescent="0.25">
      <c r="A44" s="1"/>
      <c r="B44" s="10">
        <f t="shared" si="0"/>
        <v>42</v>
      </c>
      <c r="C44" s="14" t="s">
        <v>6</v>
      </c>
      <c r="D44" s="12" t="s">
        <v>79</v>
      </c>
      <c r="E44" s="12" t="s">
        <v>239</v>
      </c>
      <c r="F44" s="12" t="s">
        <v>374</v>
      </c>
      <c r="G44" s="12" t="s">
        <v>481</v>
      </c>
      <c r="H44" s="12" t="s">
        <v>584</v>
      </c>
      <c r="I44" s="6" t="s">
        <v>781</v>
      </c>
      <c r="J44" s="12">
        <v>1</v>
      </c>
      <c r="K44" s="6">
        <f t="shared" si="1"/>
        <v>5</v>
      </c>
      <c r="L44" s="12" t="s">
        <v>783</v>
      </c>
      <c r="M44" s="7">
        <v>3.9800000000000002E-2</v>
      </c>
      <c r="N44" s="29">
        <f t="shared" si="2"/>
        <v>0.19900000000000001</v>
      </c>
      <c r="O44" s="15"/>
    </row>
    <row r="45" spans="1:15" x14ac:dyDescent="0.25">
      <c r="A45" s="1"/>
      <c r="B45" s="9">
        <f>ROW(B45) - ROW($B$2)</f>
        <v>43</v>
      </c>
      <c r="C45" s="13" t="s">
        <v>7</v>
      </c>
      <c r="D45" s="6" t="s">
        <v>80</v>
      </c>
      <c r="E45" s="6" t="s">
        <v>240</v>
      </c>
      <c r="F45" s="6" t="s">
        <v>375</v>
      </c>
      <c r="G45" s="6" t="s">
        <v>784</v>
      </c>
      <c r="H45" s="12" t="s">
        <v>572</v>
      </c>
      <c r="I45" s="6" t="s">
        <v>654</v>
      </c>
      <c r="J45" s="6">
        <v>1</v>
      </c>
      <c r="K45" s="6">
        <f t="shared" si="1"/>
        <v>5</v>
      </c>
      <c r="L45" s="12" t="s">
        <v>700</v>
      </c>
      <c r="M45" s="7" t="s">
        <v>734</v>
      </c>
      <c r="N45" s="29">
        <f t="shared" si="2"/>
        <v>0.39</v>
      </c>
      <c r="O45" s="15"/>
    </row>
    <row r="46" spans="1:15" x14ac:dyDescent="0.25">
      <c r="A46" s="1"/>
      <c r="B46" s="10">
        <f t="shared" si="0"/>
        <v>44</v>
      </c>
      <c r="C46" s="14" t="s">
        <v>7</v>
      </c>
      <c r="D46" s="12" t="s">
        <v>81</v>
      </c>
      <c r="E46" s="12" t="s">
        <v>241</v>
      </c>
      <c r="F46" s="12" t="s">
        <v>376</v>
      </c>
      <c r="G46" s="12" t="s">
        <v>482</v>
      </c>
      <c r="H46" s="12" t="s">
        <v>572</v>
      </c>
      <c r="I46" s="12" t="s">
        <v>781</v>
      </c>
      <c r="J46" s="12">
        <v>3</v>
      </c>
      <c r="K46" s="6">
        <f t="shared" si="1"/>
        <v>15</v>
      </c>
      <c r="L46" s="12" t="s">
        <v>700</v>
      </c>
      <c r="M46" s="7" t="s">
        <v>734</v>
      </c>
      <c r="N46" s="29">
        <f t="shared" si="2"/>
        <v>1.17</v>
      </c>
      <c r="O46" s="15"/>
    </row>
    <row r="47" spans="1:15" ht="24" x14ac:dyDescent="0.25">
      <c r="A47" s="1"/>
      <c r="B47" s="9">
        <f>ROW(B47) - ROW($B$2)</f>
        <v>45</v>
      </c>
      <c r="C47" s="13" t="s">
        <v>8</v>
      </c>
      <c r="D47" s="6" t="s">
        <v>82</v>
      </c>
      <c r="E47" s="6" t="s">
        <v>242</v>
      </c>
      <c r="F47" s="6" t="s">
        <v>377</v>
      </c>
      <c r="G47" s="6" t="s">
        <v>483</v>
      </c>
      <c r="H47" s="6" t="s">
        <v>585</v>
      </c>
      <c r="I47" s="12" t="s">
        <v>781</v>
      </c>
      <c r="J47" s="6">
        <v>1</v>
      </c>
      <c r="K47" s="6">
        <f t="shared" si="1"/>
        <v>5</v>
      </c>
      <c r="L47" s="12" t="s">
        <v>700</v>
      </c>
      <c r="M47" s="7" t="s">
        <v>735</v>
      </c>
      <c r="N47" s="29">
        <f t="shared" si="2"/>
        <v>2.8000000000000003</v>
      </c>
      <c r="O47" s="15"/>
    </row>
    <row r="48" spans="1:15" ht="48" x14ac:dyDescent="0.25">
      <c r="A48" s="1"/>
      <c r="B48" s="10">
        <f t="shared" si="0"/>
        <v>46</v>
      </c>
      <c r="C48" s="14" t="s">
        <v>9</v>
      </c>
      <c r="D48" s="12" t="s">
        <v>83</v>
      </c>
      <c r="E48" s="12" t="s">
        <v>243</v>
      </c>
      <c r="F48" s="12" t="s">
        <v>378</v>
      </c>
      <c r="G48" s="12" t="s">
        <v>378</v>
      </c>
      <c r="H48" s="12" t="s">
        <v>586</v>
      </c>
      <c r="I48" s="12" t="s">
        <v>781</v>
      </c>
      <c r="J48" s="12">
        <v>1</v>
      </c>
      <c r="K48" s="6">
        <f t="shared" si="1"/>
        <v>5</v>
      </c>
      <c r="L48" s="12" t="s">
        <v>783</v>
      </c>
      <c r="M48" s="7">
        <v>0.72819999999999996</v>
      </c>
      <c r="N48" s="29">
        <f t="shared" si="2"/>
        <v>3.641</v>
      </c>
      <c r="O48" s="15"/>
    </row>
    <row r="49" spans="1:15" x14ac:dyDescent="0.25">
      <c r="A49" s="1"/>
      <c r="B49" s="9">
        <f>ROW(B49) - ROW($B$2)</f>
        <v>47</v>
      </c>
      <c r="C49" s="13"/>
      <c r="D49" s="6" t="s">
        <v>84</v>
      </c>
      <c r="E49" s="6" t="s">
        <v>244</v>
      </c>
      <c r="F49" s="6" t="s">
        <v>379</v>
      </c>
      <c r="G49" s="6" t="s">
        <v>379</v>
      </c>
      <c r="H49" s="6" t="s">
        <v>587</v>
      </c>
      <c r="I49" s="12" t="s">
        <v>781</v>
      </c>
      <c r="J49" s="6">
        <v>2</v>
      </c>
      <c r="K49" s="6">
        <f t="shared" si="1"/>
        <v>10</v>
      </c>
      <c r="L49" s="12" t="s">
        <v>700</v>
      </c>
      <c r="M49" s="7" t="s">
        <v>736</v>
      </c>
      <c r="N49" s="29">
        <f t="shared" si="2"/>
        <v>84.26</v>
      </c>
      <c r="O49" s="15"/>
    </row>
    <row r="50" spans="1:15" x14ac:dyDescent="0.25">
      <c r="A50" s="1"/>
      <c r="B50" s="10">
        <f t="shared" si="0"/>
        <v>48</v>
      </c>
      <c r="C50" s="14" t="s">
        <v>10</v>
      </c>
      <c r="D50" s="12" t="s">
        <v>85</v>
      </c>
      <c r="E50" s="12" t="s">
        <v>245</v>
      </c>
      <c r="F50" s="12" t="s">
        <v>380</v>
      </c>
      <c r="G50" s="12" t="s">
        <v>380</v>
      </c>
      <c r="H50" s="12" t="s">
        <v>588</v>
      </c>
      <c r="I50" s="12" t="s">
        <v>781</v>
      </c>
      <c r="J50" s="12">
        <v>1</v>
      </c>
      <c r="K50" s="6">
        <f t="shared" si="1"/>
        <v>5</v>
      </c>
      <c r="L50" s="12" t="s">
        <v>700</v>
      </c>
      <c r="M50" s="7" t="s">
        <v>737</v>
      </c>
      <c r="N50" s="29">
        <f t="shared" si="2"/>
        <v>6.3</v>
      </c>
      <c r="O50" s="15"/>
    </row>
    <row r="51" spans="1:15" ht="48" x14ac:dyDescent="0.25">
      <c r="A51" s="1"/>
      <c r="B51" s="9">
        <f>ROW(B51) - ROW($B$2)</f>
        <v>49</v>
      </c>
      <c r="C51" s="13" t="s">
        <v>11</v>
      </c>
      <c r="D51" s="6" t="s">
        <v>86</v>
      </c>
      <c r="E51" s="6" t="s">
        <v>246</v>
      </c>
      <c r="F51" s="6" t="s">
        <v>381</v>
      </c>
      <c r="G51" s="6" t="s">
        <v>381</v>
      </c>
      <c r="H51" s="6" t="s">
        <v>589</v>
      </c>
      <c r="I51" s="12" t="s">
        <v>781</v>
      </c>
      <c r="J51" s="6">
        <v>2</v>
      </c>
      <c r="K51" s="6">
        <f t="shared" si="1"/>
        <v>10</v>
      </c>
      <c r="L51" s="12" t="s">
        <v>783</v>
      </c>
      <c r="M51" s="7">
        <v>0.25169999999999998</v>
      </c>
      <c r="N51" s="29">
        <f t="shared" si="2"/>
        <v>2.5169999999999999</v>
      </c>
      <c r="O51" s="15"/>
    </row>
    <row r="52" spans="1:15" ht="36" x14ac:dyDescent="0.25">
      <c r="A52" s="1"/>
      <c r="B52" s="10">
        <f t="shared" si="0"/>
        <v>50</v>
      </c>
      <c r="C52" s="14" t="s">
        <v>12</v>
      </c>
      <c r="D52" s="12" t="s">
        <v>87</v>
      </c>
      <c r="E52" s="12" t="s">
        <v>247</v>
      </c>
      <c r="F52" s="12" t="s">
        <v>382</v>
      </c>
      <c r="G52" s="12" t="s">
        <v>382</v>
      </c>
      <c r="H52" s="12" t="s">
        <v>590</v>
      </c>
      <c r="I52" s="12" t="s">
        <v>781</v>
      </c>
      <c r="J52" s="12">
        <v>1</v>
      </c>
      <c r="K52" s="6">
        <f t="shared" si="1"/>
        <v>5</v>
      </c>
      <c r="L52" s="12" t="s">
        <v>783</v>
      </c>
      <c r="M52" s="7">
        <v>0.18809999999999999</v>
      </c>
      <c r="N52" s="29">
        <f t="shared" si="2"/>
        <v>0.94049999999999989</v>
      </c>
      <c r="O52" s="15"/>
    </row>
    <row r="53" spans="1:15" ht="24" x14ac:dyDescent="0.25">
      <c r="A53" s="1"/>
      <c r="B53" s="9">
        <f>ROW(B53) - ROW($B$2)</f>
        <v>51</v>
      </c>
      <c r="C53" s="13" t="s">
        <v>13</v>
      </c>
      <c r="D53" s="6" t="s">
        <v>88</v>
      </c>
      <c r="E53" s="6" t="s">
        <v>248</v>
      </c>
      <c r="F53" s="6" t="s">
        <v>383</v>
      </c>
      <c r="G53" s="6" t="s">
        <v>383</v>
      </c>
      <c r="H53" s="6" t="s">
        <v>591</v>
      </c>
      <c r="I53" s="12" t="s">
        <v>781</v>
      </c>
      <c r="J53" s="6">
        <v>1</v>
      </c>
      <c r="K53" s="6">
        <f t="shared" si="1"/>
        <v>5</v>
      </c>
      <c r="L53" s="12" t="s">
        <v>783</v>
      </c>
      <c r="M53" s="7">
        <v>0.75260000000000005</v>
      </c>
      <c r="N53" s="29">
        <f t="shared" si="2"/>
        <v>3.7630000000000003</v>
      </c>
      <c r="O53" s="15"/>
    </row>
    <row r="54" spans="1:15" ht="36" x14ac:dyDescent="0.25">
      <c r="A54" s="1"/>
      <c r="B54" s="10">
        <f t="shared" si="0"/>
        <v>52</v>
      </c>
      <c r="C54" s="14" t="s">
        <v>14</v>
      </c>
      <c r="D54" s="12" t="s">
        <v>89</v>
      </c>
      <c r="E54" s="12" t="s">
        <v>249</v>
      </c>
      <c r="F54" s="12" t="s">
        <v>384</v>
      </c>
      <c r="G54" s="12" t="s">
        <v>384</v>
      </c>
      <c r="H54" s="12" t="s">
        <v>592</v>
      </c>
      <c r="I54" s="12" t="s">
        <v>781</v>
      </c>
      <c r="J54" s="12">
        <v>1</v>
      </c>
      <c r="K54" s="6">
        <f t="shared" si="1"/>
        <v>5</v>
      </c>
      <c r="L54" s="12" t="s">
        <v>783</v>
      </c>
      <c r="M54" s="7">
        <v>0.39190000000000003</v>
      </c>
      <c r="N54" s="29">
        <f t="shared" si="2"/>
        <v>1.9595000000000002</v>
      </c>
      <c r="O54" s="15"/>
    </row>
    <row r="55" spans="1:15" ht="48" x14ac:dyDescent="0.25">
      <c r="A55" s="1"/>
      <c r="B55" s="9">
        <f>ROW(B55) - ROW($B$2)</f>
        <v>53</v>
      </c>
      <c r="C55" s="13" t="s">
        <v>15</v>
      </c>
      <c r="D55" s="6" t="s">
        <v>90</v>
      </c>
      <c r="E55" s="6" t="s">
        <v>250</v>
      </c>
      <c r="F55" s="6" t="s">
        <v>385</v>
      </c>
      <c r="G55" s="6" t="s">
        <v>385</v>
      </c>
      <c r="H55" s="6" t="s">
        <v>593</v>
      </c>
      <c r="I55" s="12" t="s">
        <v>781</v>
      </c>
      <c r="J55" s="6">
        <v>1</v>
      </c>
      <c r="K55" s="6">
        <f t="shared" si="1"/>
        <v>5</v>
      </c>
      <c r="L55" s="12" t="s">
        <v>783</v>
      </c>
      <c r="M55" s="7">
        <v>0.57440000000000002</v>
      </c>
      <c r="N55" s="29">
        <f t="shared" si="2"/>
        <v>2.8719999999999999</v>
      </c>
      <c r="O55" s="15"/>
    </row>
    <row r="56" spans="1:15" ht="25.5" x14ac:dyDescent="0.25">
      <c r="A56" s="1"/>
      <c r="B56" s="10">
        <f t="shared" si="0"/>
        <v>54</v>
      </c>
      <c r="C56" s="14" t="s">
        <v>16</v>
      </c>
      <c r="D56" s="16" t="s">
        <v>91</v>
      </c>
      <c r="E56" s="16" t="s">
        <v>251</v>
      </c>
      <c r="F56" s="16" t="s">
        <v>386</v>
      </c>
      <c r="G56" s="16" t="s">
        <v>484</v>
      </c>
      <c r="H56" s="16"/>
      <c r="I56" s="16" t="s">
        <v>781</v>
      </c>
      <c r="J56" s="16">
        <v>1</v>
      </c>
      <c r="K56" s="17">
        <f t="shared" si="1"/>
        <v>5</v>
      </c>
      <c r="L56" s="16"/>
      <c r="M56" s="7" t="s">
        <v>781</v>
      </c>
      <c r="N56" s="29" t="s">
        <v>781</v>
      </c>
      <c r="O56" s="30" t="s">
        <v>788</v>
      </c>
    </row>
    <row r="57" spans="1:15" ht="48" x14ac:dyDescent="0.25">
      <c r="A57" s="1"/>
      <c r="B57" s="9">
        <f>ROW(B57) - ROW($B$2)</f>
        <v>55</v>
      </c>
      <c r="C57" s="13" t="s">
        <v>17</v>
      </c>
      <c r="D57" s="6" t="s">
        <v>92</v>
      </c>
      <c r="E57" s="6" t="s">
        <v>252</v>
      </c>
      <c r="F57" s="6" t="s">
        <v>387</v>
      </c>
      <c r="G57" s="6" t="s">
        <v>387</v>
      </c>
      <c r="H57" s="6" t="s">
        <v>594</v>
      </c>
      <c r="I57" s="12" t="s">
        <v>781</v>
      </c>
      <c r="J57" s="6">
        <v>2</v>
      </c>
      <c r="K57" s="6">
        <f t="shared" si="1"/>
        <v>10</v>
      </c>
      <c r="L57" s="12" t="s">
        <v>783</v>
      </c>
      <c r="M57" s="7">
        <v>0.67259999999999998</v>
      </c>
      <c r="N57" s="29">
        <f t="shared" si="2"/>
        <v>6.726</v>
      </c>
      <c r="O57" s="15"/>
    </row>
    <row r="58" spans="1:15" ht="48" x14ac:dyDescent="0.25">
      <c r="A58" s="1"/>
      <c r="B58" s="10">
        <f t="shared" si="0"/>
        <v>56</v>
      </c>
      <c r="C58" s="14" t="s">
        <v>11</v>
      </c>
      <c r="D58" s="12" t="s">
        <v>93</v>
      </c>
      <c r="E58" s="12" t="s">
        <v>246</v>
      </c>
      <c r="F58" s="12" t="s">
        <v>381</v>
      </c>
      <c r="G58" s="12" t="s">
        <v>381</v>
      </c>
      <c r="H58" s="12" t="s">
        <v>589</v>
      </c>
      <c r="I58" s="12" t="s">
        <v>781</v>
      </c>
      <c r="J58" s="12">
        <v>7</v>
      </c>
      <c r="K58" s="6">
        <f t="shared" si="1"/>
        <v>35</v>
      </c>
      <c r="L58" s="12" t="s">
        <v>783</v>
      </c>
      <c r="M58" s="7">
        <v>0.25169999999999998</v>
      </c>
      <c r="N58" s="29">
        <f t="shared" si="2"/>
        <v>8.8094999999999999</v>
      </c>
      <c r="O58" s="15"/>
    </row>
    <row r="59" spans="1:15" x14ac:dyDescent="0.25">
      <c r="A59" s="1"/>
      <c r="B59" s="9">
        <f>ROW(B59) - ROW($B$2)</f>
        <v>57</v>
      </c>
      <c r="C59" s="13" t="s">
        <v>18</v>
      </c>
      <c r="D59" s="6" t="s">
        <v>94</v>
      </c>
      <c r="E59" s="6" t="s">
        <v>253</v>
      </c>
      <c r="F59" s="6" t="s">
        <v>388</v>
      </c>
      <c r="G59" s="6" t="s">
        <v>485</v>
      </c>
      <c r="H59" s="6" t="s">
        <v>595</v>
      </c>
      <c r="I59" s="12" t="s">
        <v>781</v>
      </c>
      <c r="J59" s="6">
        <v>1</v>
      </c>
      <c r="K59" s="6">
        <f t="shared" si="1"/>
        <v>5</v>
      </c>
      <c r="L59" s="12" t="s">
        <v>700</v>
      </c>
      <c r="M59" s="7" t="s">
        <v>738</v>
      </c>
      <c r="N59" s="29">
        <f t="shared" si="2"/>
        <v>2.3000000000000003</v>
      </c>
      <c r="O59" s="15"/>
    </row>
    <row r="60" spans="1:15" ht="48" x14ac:dyDescent="0.25">
      <c r="A60" s="1"/>
      <c r="B60" s="10">
        <f t="shared" si="0"/>
        <v>58</v>
      </c>
      <c r="C60" s="14" t="s">
        <v>11</v>
      </c>
      <c r="D60" s="12" t="s">
        <v>95</v>
      </c>
      <c r="E60" s="12" t="s">
        <v>254</v>
      </c>
      <c r="F60" s="12" t="s">
        <v>389</v>
      </c>
      <c r="G60" s="12" t="s">
        <v>389</v>
      </c>
      <c r="H60" s="12" t="s">
        <v>596</v>
      </c>
      <c r="I60" s="12" t="s">
        <v>781</v>
      </c>
      <c r="J60" s="12">
        <v>2</v>
      </c>
      <c r="K60" s="6">
        <f t="shared" si="1"/>
        <v>10</v>
      </c>
      <c r="L60" s="12" t="s">
        <v>783</v>
      </c>
      <c r="M60" s="7">
        <v>0.2772</v>
      </c>
      <c r="N60" s="29">
        <f t="shared" si="2"/>
        <v>2.7720000000000002</v>
      </c>
      <c r="O60" s="15"/>
    </row>
    <row r="61" spans="1:15" ht="60" x14ac:dyDescent="0.25">
      <c r="A61" s="1"/>
      <c r="B61" s="9">
        <f>ROW(B61) - ROW($B$2)</f>
        <v>59</v>
      </c>
      <c r="C61" s="13" t="s">
        <v>19</v>
      </c>
      <c r="D61" s="6" t="s">
        <v>96</v>
      </c>
      <c r="E61" s="6" t="s">
        <v>255</v>
      </c>
      <c r="F61" s="6" t="s">
        <v>390</v>
      </c>
      <c r="G61" s="6" t="s">
        <v>390</v>
      </c>
      <c r="H61" s="6" t="s">
        <v>594</v>
      </c>
      <c r="I61" s="12" t="s">
        <v>781</v>
      </c>
      <c r="J61" s="6">
        <v>2</v>
      </c>
      <c r="K61" s="6">
        <f t="shared" si="1"/>
        <v>10</v>
      </c>
      <c r="L61" s="12" t="s">
        <v>783</v>
      </c>
      <c r="M61" s="7">
        <v>0.54239999999999999</v>
      </c>
      <c r="N61" s="29">
        <f t="shared" si="2"/>
        <v>5.4239999999999995</v>
      </c>
      <c r="O61" s="15"/>
    </row>
    <row r="62" spans="1:15" ht="60" x14ac:dyDescent="0.25">
      <c r="A62" s="1"/>
      <c r="B62" s="10">
        <f t="shared" si="0"/>
        <v>60</v>
      </c>
      <c r="C62" s="14" t="s">
        <v>11</v>
      </c>
      <c r="D62" s="12" t="s">
        <v>97</v>
      </c>
      <c r="E62" s="12" t="s">
        <v>256</v>
      </c>
      <c r="F62" s="12" t="s">
        <v>785</v>
      </c>
      <c r="G62" s="12" t="s">
        <v>486</v>
      </c>
      <c r="H62" s="12" t="s">
        <v>596</v>
      </c>
      <c r="I62" s="12" t="s">
        <v>781</v>
      </c>
      <c r="J62" s="12">
        <v>1</v>
      </c>
      <c r="K62" s="6">
        <f t="shared" si="1"/>
        <v>5</v>
      </c>
      <c r="L62" s="12" t="s">
        <v>783</v>
      </c>
      <c r="M62" s="7">
        <v>0.46200000000000002</v>
      </c>
      <c r="N62" s="29">
        <f t="shared" si="2"/>
        <v>2.31</v>
      </c>
      <c r="O62" s="15"/>
    </row>
    <row r="63" spans="1:15" ht="24" x14ac:dyDescent="0.25">
      <c r="A63" s="1"/>
      <c r="B63" s="9">
        <f>ROW(B63) - ROW($B$2)</f>
        <v>61</v>
      </c>
      <c r="C63" s="13" t="s">
        <v>20</v>
      </c>
      <c r="D63" s="6" t="s">
        <v>98</v>
      </c>
      <c r="E63" s="6" t="s">
        <v>257</v>
      </c>
      <c r="F63" s="6" t="s">
        <v>391</v>
      </c>
      <c r="G63" s="6" t="s">
        <v>391</v>
      </c>
      <c r="H63" s="6" t="s">
        <v>592</v>
      </c>
      <c r="I63" s="12" t="s">
        <v>781</v>
      </c>
      <c r="J63" s="6">
        <v>1</v>
      </c>
      <c r="K63" s="6">
        <f t="shared" si="1"/>
        <v>5</v>
      </c>
      <c r="L63" s="12" t="s">
        <v>783</v>
      </c>
      <c r="M63" s="7">
        <v>0.36909999999999998</v>
      </c>
      <c r="N63" s="29">
        <f t="shared" si="2"/>
        <v>1.8454999999999999</v>
      </c>
      <c r="O63" s="15"/>
    </row>
    <row r="64" spans="1:15" ht="60" x14ac:dyDescent="0.25">
      <c r="A64" s="1"/>
      <c r="B64" s="10">
        <f t="shared" si="0"/>
        <v>62</v>
      </c>
      <c r="C64" s="14" t="s">
        <v>21</v>
      </c>
      <c r="D64" s="12" t="s">
        <v>99</v>
      </c>
      <c r="E64" s="12" t="s">
        <v>258</v>
      </c>
      <c r="F64" s="12" t="s">
        <v>392</v>
      </c>
      <c r="G64" s="12" t="s">
        <v>392</v>
      </c>
      <c r="H64" s="12" t="s">
        <v>590</v>
      </c>
      <c r="I64" s="12" t="s">
        <v>781</v>
      </c>
      <c r="J64" s="12">
        <v>1</v>
      </c>
      <c r="K64" s="6">
        <f t="shared" si="1"/>
        <v>5</v>
      </c>
      <c r="L64" s="12" t="s">
        <v>783</v>
      </c>
      <c r="M64" s="7">
        <v>0.42480000000000001</v>
      </c>
      <c r="N64" s="29">
        <f t="shared" si="2"/>
        <v>2.1240000000000001</v>
      </c>
      <c r="O64" s="15"/>
    </row>
    <row r="65" spans="1:15" ht="48" x14ac:dyDescent="0.25">
      <c r="A65" s="1"/>
      <c r="B65" s="9">
        <f>ROW(B65) - ROW($B$2)</f>
        <v>63</v>
      </c>
      <c r="C65" s="13" t="s">
        <v>11</v>
      </c>
      <c r="D65" s="6" t="s">
        <v>100</v>
      </c>
      <c r="E65" s="6" t="s">
        <v>259</v>
      </c>
      <c r="F65" s="6" t="s">
        <v>393</v>
      </c>
      <c r="G65" s="6" t="s">
        <v>393</v>
      </c>
      <c r="H65" s="6" t="s">
        <v>596</v>
      </c>
      <c r="I65" s="12" t="s">
        <v>781</v>
      </c>
      <c r="J65" s="6">
        <v>1</v>
      </c>
      <c r="K65" s="6">
        <f t="shared" si="1"/>
        <v>5</v>
      </c>
      <c r="L65" s="12" t="s">
        <v>783</v>
      </c>
      <c r="M65" s="7">
        <v>0.16059999999999999</v>
      </c>
      <c r="N65" s="29">
        <f t="shared" si="2"/>
        <v>0.80299999999999994</v>
      </c>
      <c r="O65" s="15"/>
    </row>
    <row r="66" spans="1:15" ht="48" x14ac:dyDescent="0.25">
      <c r="A66" s="1"/>
      <c r="B66" s="10">
        <f t="shared" si="0"/>
        <v>64</v>
      </c>
      <c r="C66" s="14" t="s">
        <v>11</v>
      </c>
      <c r="D66" s="12" t="s">
        <v>101</v>
      </c>
      <c r="E66" s="12" t="s">
        <v>260</v>
      </c>
      <c r="F66" s="12" t="s">
        <v>394</v>
      </c>
      <c r="G66" s="12" t="s">
        <v>394</v>
      </c>
      <c r="H66" s="12" t="s">
        <v>596</v>
      </c>
      <c r="I66" s="12" t="s">
        <v>781</v>
      </c>
      <c r="J66" s="12">
        <v>1</v>
      </c>
      <c r="K66" s="6">
        <f t="shared" si="1"/>
        <v>5</v>
      </c>
      <c r="L66" s="12" t="s">
        <v>783</v>
      </c>
      <c r="M66" s="7">
        <v>0.15279999999999999</v>
      </c>
      <c r="N66" s="29">
        <f t="shared" si="2"/>
        <v>0.76400000000000001</v>
      </c>
      <c r="O66" s="15"/>
    </row>
    <row r="67" spans="1:15" x14ac:dyDescent="0.25">
      <c r="A67" s="1"/>
      <c r="B67" s="9">
        <f>ROW(B67) - ROW($B$2)</f>
        <v>65</v>
      </c>
      <c r="C67" s="13" t="s">
        <v>22</v>
      </c>
      <c r="D67" s="6" t="s">
        <v>102</v>
      </c>
      <c r="E67" s="6" t="s">
        <v>261</v>
      </c>
      <c r="F67" s="6" t="s">
        <v>395</v>
      </c>
      <c r="G67" s="6" t="s">
        <v>395</v>
      </c>
      <c r="H67" s="6" t="s">
        <v>597</v>
      </c>
      <c r="I67" s="12" t="s">
        <v>781</v>
      </c>
      <c r="J67" s="6">
        <v>7</v>
      </c>
      <c r="K67" s="6">
        <f t="shared" si="1"/>
        <v>35</v>
      </c>
      <c r="L67" s="12" t="s">
        <v>700</v>
      </c>
      <c r="M67" s="7" t="s">
        <v>739</v>
      </c>
      <c r="N67" s="29">
        <f t="shared" si="2"/>
        <v>64.680000000000007</v>
      </c>
      <c r="O67" s="15"/>
    </row>
    <row r="68" spans="1:15" x14ac:dyDescent="0.25">
      <c r="A68" s="1"/>
      <c r="B68" s="10">
        <f t="shared" si="0"/>
        <v>66</v>
      </c>
      <c r="C68" s="14" t="s">
        <v>697</v>
      </c>
      <c r="D68" s="12" t="s">
        <v>103</v>
      </c>
      <c r="E68" s="12" t="s">
        <v>262</v>
      </c>
      <c r="F68" s="12" t="s">
        <v>396</v>
      </c>
      <c r="G68" s="12" t="s">
        <v>396</v>
      </c>
      <c r="H68" s="12" t="s">
        <v>573</v>
      </c>
      <c r="I68" s="12" t="s">
        <v>781</v>
      </c>
      <c r="J68" s="12">
        <v>4</v>
      </c>
      <c r="K68" s="6">
        <f t="shared" ref="K68:K131" si="3">J68*5</f>
        <v>20</v>
      </c>
      <c r="L68" s="12" t="s">
        <v>783</v>
      </c>
      <c r="M68" s="7">
        <v>8.4900000000000003E-2</v>
      </c>
      <c r="N68" s="29">
        <f t="shared" ref="N68:N131" si="4">M68*K68</f>
        <v>1.698</v>
      </c>
      <c r="O68" s="15"/>
    </row>
    <row r="69" spans="1:15" x14ac:dyDescent="0.25">
      <c r="A69" s="1"/>
      <c r="B69" s="9">
        <f>ROW(B69) - ROW($B$2)</f>
        <v>67</v>
      </c>
      <c r="C69" s="14" t="s">
        <v>23</v>
      </c>
      <c r="D69" s="6" t="s">
        <v>104</v>
      </c>
      <c r="E69" s="6" t="s">
        <v>263</v>
      </c>
      <c r="F69" s="6" t="s">
        <v>397</v>
      </c>
      <c r="G69" s="6" t="s">
        <v>487</v>
      </c>
      <c r="H69" s="6" t="s">
        <v>598</v>
      </c>
      <c r="I69" s="6" t="s">
        <v>655</v>
      </c>
      <c r="J69" s="6">
        <v>1</v>
      </c>
      <c r="K69" s="6">
        <f t="shared" si="3"/>
        <v>5</v>
      </c>
      <c r="L69" s="12" t="s">
        <v>700</v>
      </c>
      <c r="M69" s="7" t="s">
        <v>740</v>
      </c>
      <c r="N69" s="29">
        <f t="shared" si="4"/>
        <v>1.9500000000000002</v>
      </c>
      <c r="O69" s="15"/>
    </row>
    <row r="70" spans="1:15" x14ac:dyDescent="0.25">
      <c r="A70" s="1"/>
      <c r="B70" s="10">
        <f t="shared" si="0"/>
        <v>68</v>
      </c>
      <c r="C70" s="14" t="s">
        <v>23</v>
      </c>
      <c r="D70" s="12" t="s">
        <v>105</v>
      </c>
      <c r="E70" s="12" t="s">
        <v>264</v>
      </c>
      <c r="F70" s="12" t="s">
        <v>398</v>
      </c>
      <c r="G70" s="12" t="s">
        <v>488</v>
      </c>
      <c r="H70" s="12" t="s">
        <v>599</v>
      </c>
      <c r="I70" s="12" t="s">
        <v>656</v>
      </c>
      <c r="J70" s="12">
        <v>2</v>
      </c>
      <c r="K70" s="6">
        <f t="shared" si="3"/>
        <v>10</v>
      </c>
      <c r="L70" s="12" t="s">
        <v>700</v>
      </c>
      <c r="M70" s="7" t="s">
        <v>741</v>
      </c>
      <c r="N70" s="29">
        <f t="shared" si="4"/>
        <v>1.6600000000000001</v>
      </c>
      <c r="O70" s="15"/>
    </row>
    <row r="71" spans="1:15" ht="24" x14ac:dyDescent="0.25">
      <c r="A71" s="1"/>
      <c r="B71" s="9">
        <f>ROW(B71) - ROW($B$2)</f>
        <v>69</v>
      </c>
      <c r="C71" s="13" t="s">
        <v>23</v>
      </c>
      <c r="D71" s="6" t="s">
        <v>106</v>
      </c>
      <c r="E71" s="6" t="s">
        <v>265</v>
      </c>
      <c r="F71" s="6" t="s">
        <v>399</v>
      </c>
      <c r="G71" s="6" t="s">
        <v>399</v>
      </c>
      <c r="H71" s="6" t="s">
        <v>600</v>
      </c>
      <c r="I71" s="6" t="s">
        <v>657</v>
      </c>
      <c r="J71" s="6">
        <v>2</v>
      </c>
      <c r="K71" s="6">
        <f t="shared" si="3"/>
        <v>10</v>
      </c>
      <c r="L71" s="12" t="s">
        <v>783</v>
      </c>
      <c r="M71" s="7">
        <v>0.8478</v>
      </c>
      <c r="N71" s="29">
        <f t="shared" si="4"/>
        <v>8.4779999999999998</v>
      </c>
      <c r="O71" s="15"/>
    </row>
    <row r="72" spans="1:15" ht="24" x14ac:dyDescent="0.25">
      <c r="A72" s="1"/>
      <c r="B72" s="10">
        <f t="shared" si="0"/>
        <v>70</v>
      </c>
      <c r="C72" s="14" t="s">
        <v>23</v>
      </c>
      <c r="D72" s="12" t="s">
        <v>107</v>
      </c>
      <c r="E72" s="12" t="s">
        <v>266</v>
      </c>
      <c r="F72" s="12" t="s">
        <v>400</v>
      </c>
      <c r="G72" s="12" t="s">
        <v>400</v>
      </c>
      <c r="H72" s="12" t="s">
        <v>600</v>
      </c>
      <c r="I72" s="12" t="s">
        <v>655</v>
      </c>
      <c r="J72" s="12">
        <v>1</v>
      </c>
      <c r="K72" s="6">
        <f t="shared" si="3"/>
        <v>5</v>
      </c>
      <c r="L72" s="12" t="s">
        <v>783</v>
      </c>
      <c r="M72" s="7">
        <v>0.18410000000000001</v>
      </c>
      <c r="N72" s="29">
        <f t="shared" si="4"/>
        <v>0.9205000000000001</v>
      </c>
      <c r="O72" s="15"/>
    </row>
    <row r="73" spans="1:15" ht="24" x14ac:dyDescent="0.25">
      <c r="A73" s="1"/>
      <c r="B73" s="9">
        <f>ROW(B73) - ROW($B$2)</f>
        <v>71</v>
      </c>
      <c r="C73" s="13" t="s">
        <v>24</v>
      </c>
      <c r="D73" s="6" t="s">
        <v>108</v>
      </c>
      <c r="E73" s="6" t="s">
        <v>267</v>
      </c>
      <c r="F73" s="6" t="s">
        <v>401</v>
      </c>
      <c r="G73" s="6" t="s">
        <v>489</v>
      </c>
      <c r="H73" s="6" t="s">
        <v>601</v>
      </c>
      <c r="I73" s="6" t="s">
        <v>781</v>
      </c>
      <c r="J73" s="6">
        <v>1</v>
      </c>
      <c r="K73" s="6">
        <f t="shared" si="3"/>
        <v>5</v>
      </c>
      <c r="L73" s="12" t="s">
        <v>783</v>
      </c>
      <c r="M73" s="7">
        <v>2.1399999999999999E-2</v>
      </c>
      <c r="N73" s="29">
        <f t="shared" si="4"/>
        <v>0.107</v>
      </c>
      <c r="O73" s="15"/>
    </row>
    <row r="74" spans="1:15" x14ac:dyDescent="0.25">
      <c r="A74" s="1"/>
      <c r="B74" s="10">
        <f t="shared" si="0"/>
        <v>72</v>
      </c>
      <c r="C74" s="14" t="s">
        <v>24</v>
      </c>
      <c r="D74" s="12" t="s">
        <v>109</v>
      </c>
      <c r="E74" s="12" t="s">
        <v>268</v>
      </c>
      <c r="F74" s="12" t="s">
        <v>402</v>
      </c>
      <c r="G74" s="12" t="s">
        <v>490</v>
      </c>
      <c r="H74" s="12" t="s">
        <v>602</v>
      </c>
      <c r="I74" s="6" t="s">
        <v>781</v>
      </c>
      <c r="J74" s="12">
        <v>2</v>
      </c>
      <c r="K74" s="6">
        <f t="shared" si="3"/>
        <v>10</v>
      </c>
      <c r="L74" s="12" t="s">
        <v>700</v>
      </c>
      <c r="M74" s="7" t="s">
        <v>742</v>
      </c>
      <c r="N74" s="29">
        <f t="shared" si="4"/>
        <v>2.79</v>
      </c>
      <c r="O74" s="15"/>
    </row>
    <row r="75" spans="1:15" x14ac:dyDescent="0.25">
      <c r="A75" s="1"/>
      <c r="B75" s="9">
        <f>ROW(B75) - ROW($B$2)</f>
        <v>73</v>
      </c>
      <c r="C75" s="13" t="s">
        <v>24</v>
      </c>
      <c r="D75" s="6" t="s">
        <v>110</v>
      </c>
      <c r="E75" s="6" t="s">
        <v>269</v>
      </c>
      <c r="F75" s="6" t="s">
        <v>402</v>
      </c>
      <c r="G75" s="6" t="s">
        <v>491</v>
      </c>
      <c r="H75" s="6" t="s">
        <v>602</v>
      </c>
      <c r="I75" s="6" t="s">
        <v>781</v>
      </c>
      <c r="J75" s="6">
        <v>2</v>
      </c>
      <c r="K75" s="6">
        <f t="shared" si="3"/>
        <v>10</v>
      </c>
      <c r="L75" s="12" t="s">
        <v>700</v>
      </c>
      <c r="M75" s="7" t="s">
        <v>743</v>
      </c>
      <c r="N75" s="29">
        <f t="shared" si="4"/>
        <v>2.37</v>
      </c>
      <c r="O75" s="15"/>
    </row>
    <row r="76" spans="1:15" ht="24" x14ac:dyDescent="0.25">
      <c r="A76" s="1"/>
      <c r="B76" s="10">
        <f t="shared" si="0"/>
        <v>74</v>
      </c>
      <c r="C76" s="14" t="s">
        <v>24</v>
      </c>
      <c r="D76" s="12" t="s">
        <v>111</v>
      </c>
      <c r="E76" s="12" t="s">
        <v>270</v>
      </c>
      <c r="F76" s="12" t="s">
        <v>401</v>
      </c>
      <c r="G76" s="12" t="s">
        <v>492</v>
      </c>
      <c r="H76" s="12" t="s">
        <v>601</v>
      </c>
      <c r="I76" s="6" t="s">
        <v>781</v>
      </c>
      <c r="J76" s="12">
        <v>1</v>
      </c>
      <c r="K76" s="6">
        <f t="shared" si="3"/>
        <v>5</v>
      </c>
      <c r="L76" s="12" t="s">
        <v>700</v>
      </c>
      <c r="M76" s="7">
        <v>2.3E-2</v>
      </c>
      <c r="N76" s="29">
        <f t="shared" si="4"/>
        <v>0.11499999999999999</v>
      </c>
      <c r="O76" s="15"/>
    </row>
    <row r="77" spans="1:15" x14ac:dyDescent="0.25">
      <c r="A77" s="1"/>
      <c r="B77" s="9">
        <f>ROW(B77) - ROW($B$2)</f>
        <v>75</v>
      </c>
      <c r="C77" s="13" t="s">
        <v>24</v>
      </c>
      <c r="D77" s="6" t="s">
        <v>112</v>
      </c>
      <c r="E77" s="6" t="s">
        <v>271</v>
      </c>
      <c r="F77" s="6" t="s">
        <v>402</v>
      </c>
      <c r="G77" s="6" t="s">
        <v>493</v>
      </c>
      <c r="H77" s="6" t="s">
        <v>602</v>
      </c>
      <c r="I77" s="6" t="s">
        <v>781</v>
      </c>
      <c r="J77" s="6">
        <v>1</v>
      </c>
      <c r="K77" s="6">
        <f t="shared" si="3"/>
        <v>5</v>
      </c>
      <c r="L77" s="12" t="s">
        <v>700</v>
      </c>
      <c r="M77" s="7" t="s">
        <v>744</v>
      </c>
      <c r="N77" s="29">
        <f t="shared" si="4"/>
        <v>2.5499999999999998</v>
      </c>
      <c r="O77" s="15"/>
    </row>
    <row r="78" spans="1:15" ht="24" x14ac:dyDescent="0.25">
      <c r="A78" s="1"/>
      <c r="B78" s="10">
        <f t="shared" si="0"/>
        <v>76</v>
      </c>
      <c r="C78" s="14" t="s">
        <v>25</v>
      </c>
      <c r="D78" s="12" t="s">
        <v>113</v>
      </c>
      <c r="E78" s="12" t="s">
        <v>272</v>
      </c>
      <c r="F78" s="12" t="s">
        <v>403</v>
      </c>
      <c r="G78" s="12" t="s">
        <v>494</v>
      </c>
      <c r="H78" s="12" t="s">
        <v>603</v>
      </c>
      <c r="I78" s="6" t="s">
        <v>781</v>
      </c>
      <c r="J78" s="12">
        <v>6</v>
      </c>
      <c r="K78" s="6">
        <f t="shared" si="3"/>
        <v>30</v>
      </c>
      <c r="L78" s="12" t="s">
        <v>783</v>
      </c>
      <c r="M78" s="7">
        <v>9.2299999999999993E-2</v>
      </c>
      <c r="N78" s="29">
        <f t="shared" si="4"/>
        <v>2.7689999999999997</v>
      </c>
      <c r="O78" s="15"/>
    </row>
    <row r="79" spans="1:15" ht="36" x14ac:dyDescent="0.25">
      <c r="A79" s="1"/>
      <c r="B79" s="9">
        <f>ROW(B79) - ROW($B$2)</f>
        <v>77</v>
      </c>
      <c r="C79" s="13" t="s">
        <v>26</v>
      </c>
      <c r="D79" s="6" t="s">
        <v>114</v>
      </c>
      <c r="E79" s="6" t="s">
        <v>273</v>
      </c>
      <c r="F79" s="6" t="s">
        <v>404</v>
      </c>
      <c r="G79" s="6" t="s">
        <v>495</v>
      </c>
      <c r="H79" s="6" t="s">
        <v>604</v>
      </c>
      <c r="I79" s="6" t="s">
        <v>781</v>
      </c>
      <c r="J79" s="6">
        <v>1</v>
      </c>
      <c r="K79" s="6">
        <f t="shared" si="3"/>
        <v>5</v>
      </c>
      <c r="L79" s="12" t="s">
        <v>700</v>
      </c>
      <c r="M79" s="7" t="s">
        <v>745</v>
      </c>
      <c r="N79" s="29">
        <f t="shared" si="4"/>
        <v>2.6500000000000004</v>
      </c>
      <c r="O79" s="15"/>
    </row>
    <row r="80" spans="1:15" x14ac:dyDescent="0.25">
      <c r="A80" s="1"/>
      <c r="B80" s="10">
        <f t="shared" si="0"/>
        <v>78</v>
      </c>
      <c r="C80" s="14" t="s">
        <v>26</v>
      </c>
      <c r="D80" s="12" t="s">
        <v>115</v>
      </c>
      <c r="E80" s="12" t="s">
        <v>274</v>
      </c>
      <c r="F80" s="12" t="s">
        <v>371</v>
      </c>
      <c r="G80" s="12" t="s">
        <v>496</v>
      </c>
      <c r="H80" s="12" t="s">
        <v>576</v>
      </c>
      <c r="I80" s="6" t="s">
        <v>781</v>
      </c>
      <c r="J80" s="12">
        <v>4</v>
      </c>
      <c r="K80" s="6">
        <f t="shared" si="3"/>
        <v>20</v>
      </c>
      <c r="L80" s="12" t="s">
        <v>783</v>
      </c>
      <c r="M80" s="7">
        <v>7.1400000000000005E-2</v>
      </c>
      <c r="N80" s="29">
        <f t="shared" si="4"/>
        <v>1.4280000000000002</v>
      </c>
      <c r="O80" s="15"/>
    </row>
    <row r="81" spans="1:15" ht="24" x14ac:dyDescent="0.25">
      <c r="A81" s="1"/>
      <c r="B81" s="9">
        <f>ROW(B81) - ROW($B$2)</f>
        <v>79</v>
      </c>
      <c r="C81" s="13" t="s">
        <v>27</v>
      </c>
      <c r="D81" s="6" t="s">
        <v>116</v>
      </c>
      <c r="E81" s="6" t="s">
        <v>275</v>
      </c>
      <c r="F81" s="6" t="s">
        <v>371</v>
      </c>
      <c r="G81" s="6" t="s">
        <v>497</v>
      </c>
      <c r="H81" s="6" t="s">
        <v>605</v>
      </c>
      <c r="I81" s="6" t="s">
        <v>781</v>
      </c>
      <c r="J81" s="6">
        <v>3</v>
      </c>
      <c r="K81" s="6">
        <f t="shared" si="3"/>
        <v>15</v>
      </c>
      <c r="L81" s="12" t="s">
        <v>700</v>
      </c>
      <c r="M81" s="7" t="s">
        <v>746</v>
      </c>
      <c r="N81" s="29">
        <f t="shared" si="4"/>
        <v>3</v>
      </c>
      <c r="O81" s="15"/>
    </row>
    <row r="82" spans="1:15" ht="24" x14ac:dyDescent="0.25">
      <c r="A82" s="1"/>
      <c r="B82" s="10">
        <f t="shared" si="0"/>
        <v>80</v>
      </c>
      <c r="C82" s="14" t="s">
        <v>28</v>
      </c>
      <c r="D82" s="12" t="s">
        <v>117</v>
      </c>
      <c r="E82" s="12" t="s">
        <v>276</v>
      </c>
      <c r="F82" s="12" t="s">
        <v>371</v>
      </c>
      <c r="G82" s="12" t="s">
        <v>498</v>
      </c>
      <c r="H82" s="12" t="s">
        <v>606</v>
      </c>
      <c r="I82" s="6" t="s">
        <v>781</v>
      </c>
      <c r="J82" s="12">
        <v>5</v>
      </c>
      <c r="K82" s="6">
        <f t="shared" si="3"/>
        <v>25</v>
      </c>
      <c r="L82" s="12" t="s">
        <v>783</v>
      </c>
      <c r="M82" s="7">
        <v>2.98E-2</v>
      </c>
      <c r="N82" s="29">
        <f t="shared" si="4"/>
        <v>0.745</v>
      </c>
      <c r="O82" s="15"/>
    </row>
    <row r="83" spans="1:15" ht="36" x14ac:dyDescent="0.25">
      <c r="A83" s="1"/>
      <c r="B83" s="9">
        <f>ROW(B83) - ROW($B$2)</f>
        <v>81</v>
      </c>
      <c r="C83" s="13" t="s">
        <v>26</v>
      </c>
      <c r="D83" s="6" t="s">
        <v>118</v>
      </c>
      <c r="E83" s="6" t="s">
        <v>277</v>
      </c>
      <c r="F83" s="6" t="s">
        <v>370</v>
      </c>
      <c r="G83" s="6" t="s">
        <v>499</v>
      </c>
      <c r="H83" s="6" t="s">
        <v>577</v>
      </c>
      <c r="I83" s="6" t="s">
        <v>781</v>
      </c>
      <c r="J83" s="6">
        <v>1</v>
      </c>
      <c r="K83" s="6">
        <f t="shared" si="3"/>
        <v>5</v>
      </c>
      <c r="L83" s="12" t="s">
        <v>783</v>
      </c>
      <c r="M83" s="7">
        <v>4.9500000000000002E-2</v>
      </c>
      <c r="N83" s="29">
        <f t="shared" si="4"/>
        <v>0.2475</v>
      </c>
      <c r="O83" s="15"/>
    </row>
    <row r="84" spans="1:15" ht="24" x14ac:dyDescent="0.25">
      <c r="A84" s="1"/>
      <c r="B84" s="10">
        <f t="shared" si="0"/>
        <v>82</v>
      </c>
      <c r="C84" s="14" t="s">
        <v>28</v>
      </c>
      <c r="D84" s="12" t="s">
        <v>119</v>
      </c>
      <c r="E84" s="12" t="s">
        <v>278</v>
      </c>
      <c r="F84" s="12" t="s">
        <v>371</v>
      </c>
      <c r="G84" s="12" t="s">
        <v>500</v>
      </c>
      <c r="H84" s="12" t="s">
        <v>607</v>
      </c>
      <c r="I84" s="6" t="s">
        <v>781</v>
      </c>
      <c r="J84" s="12">
        <v>1</v>
      </c>
      <c r="K84" s="6">
        <f t="shared" si="3"/>
        <v>5</v>
      </c>
      <c r="L84" s="12" t="s">
        <v>700</v>
      </c>
      <c r="M84" s="7" t="s">
        <v>747</v>
      </c>
      <c r="N84" s="29">
        <f t="shared" si="4"/>
        <v>2.2000000000000002</v>
      </c>
      <c r="O84" s="15"/>
    </row>
    <row r="85" spans="1:15" x14ac:dyDescent="0.25">
      <c r="A85" s="1"/>
      <c r="B85" s="9">
        <f>ROW(B85) - ROW($B$2)</f>
        <v>83</v>
      </c>
      <c r="C85" s="13" t="s">
        <v>27</v>
      </c>
      <c r="D85" s="6" t="s">
        <v>120</v>
      </c>
      <c r="E85" s="6" t="s">
        <v>279</v>
      </c>
      <c r="F85" s="6" t="s">
        <v>405</v>
      </c>
      <c r="G85" s="6" t="s">
        <v>501</v>
      </c>
      <c r="H85" s="6" t="s">
        <v>608</v>
      </c>
      <c r="I85" s="6" t="s">
        <v>781</v>
      </c>
      <c r="J85" s="6">
        <v>1</v>
      </c>
      <c r="K85" s="6">
        <f t="shared" si="3"/>
        <v>5</v>
      </c>
      <c r="L85" s="12" t="s">
        <v>700</v>
      </c>
      <c r="M85" s="7" t="s">
        <v>703</v>
      </c>
      <c r="N85" s="29">
        <f t="shared" si="4"/>
        <v>1.25</v>
      </c>
      <c r="O85" s="15"/>
    </row>
    <row r="86" spans="1:15" ht="60" x14ac:dyDescent="0.25">
      <c r="A86" s="1"/>
      <c r="B86" s="10">
        <f t="shared" si="0"/>
        <v>84</v>
      </c>
      <c r="C86" s="14" t="s">
        <v>29</v>
      </c>
      <c r="D86" s="12" t="s">
        <v>121</v>
      </c>
      <c r="E86" s="12" t="s">
        <v>280</v>
      </c>
      <c r="F86" s="12" t="s">
        <v>406</v>
      </c>
      <c r="G86" s="12" t="s">
        <v>502</v>
      </c>
      <c r="H86" s="12" t="s">
        <v>570</v>
      </c>
      <c r="I86" s="12" t="s">
        <v>658</v>
      </c>
      <c r="J86" s="12">
        <v>28</v>
      </c>
      <c r="K86" s="6">
        <f t="shared" si="3"/>
        <v>140</v>
      </c>
      <c r="L86" s="12" t="s">
        <v>700</v>
      </c>
      <c r="M86" s="7" t="s">
        <v>748</v>
      </c>
      <c r="N86" s="29">
        <f t="shared" si="4"/>
        <v>1.022</v>
      </c>
      <c r="O86" s="15"/>
    </row>
    <row r="87" spans="1:15" ht="24" x14ac:dyDescent="0.25">
      <c r="A87" s="1"/>
      <c r="B87" s="9">
        <f>ROW(B87) - ROW($B$2)</f>
        <v>85</v>
      </c>
      <c r="C87" s="13" t="s">
        <v>29</v>
      </c>
      <c r="D87" s="6" t="s">
        <v>122</v>
      </c>
      <c r="E87" s="6" t="s">
        <v>281</v>
      </c>
      <c r="F87" s="6" t="s">
        <v>406</v>
      </c>
      <c r="G87" s="6" t="s">
        <v>503</v>
      </c>
      <c r="H87" s="6" t="s">
        <v>570</v>
      </c>
      <c r="I87" s="6" t="s">
        <v>659</v>
      </c>
      <c r="J87" s="6">
        <v>8</v>
      </c>
      <c r="K87" s="6">
        <f t="shared" si="3"/>
        <v>40</v>
      </c>
      <c r="L87" s="12" t="s">
        <v>700</v>
      </c>
      <c r="M87" s="7" t="s">
        <v>727</v>
      </c>
      <c r="N87" s="29">
        <f t="shared" si="4"/>
        <v>0.6</v>
      </c>
      <c r="O87" s="15"/>
    </row>
    <row r="88" spans="1:15" ht="24" x14ac:dyDescent="0.25">
      <c r="A88" s="1"/>
      <c r="B88" s="10">
        <f t="shared" si="0"/>
        <v>86</v>
      </c>
      <c r="C88" s="14" t="s">
        <v>29</v>
      </c>
      <c r="D88" s="12" t="s">
        <v>123</v>
      </c>
      <c r="E88" s="12" t="s">
        <v>282</v>
      </c>
      <c r="F88" s="12" t="s">
        <v>407</v>
      </c>
      <c r="G88" s="12" t="s">
        <v>504</v>
      </c>
      <c r="H88" s="12" t="s">
        <v>609</v>
      </c>
      <c r="I88" s="12" t="s">
        <v>660</v>
      </c>
      <c r="J88" s="12">
        <v>2</v>
      </c>
      <c r="K88" s="6">
        <f t="shared" si="3"/>
        <v>10</v>
      </c>
      <c r="L88" s="12" t="s">
        <v>700</v>
      </c>
      <c r="M88" s="7" t="s">
        <v>749</v>
      </c>
      <c r="N88" s="29">
        <f t="shared" si="4"/>
        <v>1.1700000000000002</v>
      </c>
      <c r="O88" s="15"/>
    </row>
    <row r="89" spans="1:15" x14ac:dyDescent="0.25">
      <c r="A89" s="1"/>
      <c r="B89" s="9">
        <f>ROW(B89) - ROW($B$2)</f>
        <v>87</v>
      </c>
      <c r="C89" s="13" t="s">
        <v>29</v>
      </c>
      <c r="D89" s="6" t="s">
        <v>124</v>
      </c>
      <c r="E89" s="6" t="s">
        <v>283</v>
      </c>
      <c r="F89" s="6" t="s">
        <v>406</v>
      </c>
      <c r="G89" s="6" t="s">
        <v>505</v>
      </c>
      <c r="H89" s="6" t="s">
        <v>570</v>
      </c>
      <c r="I89" s="6" t="s">
        <v>661</v>
      </c>
      <c r="J89" s="6">
        <v>4</v>
      </c>
      <c r="K89" s="6">
        <f t="shared" si="3"/>
        <v>20</v>
      </c>
      <c r="L89" s="12" t="s">
        <v>700</v>
      </c>
      <c r="M89" s="7" t="s">
        <v>750</v>
      </c>
      <c r="N89" s="29">
        <f t="shared" si="4"/>
        <v>0.48</v>
      </c>
      <c r="O89" s="15"/>
    </row>
    <row r="90" spans="1:15" ht="108" x14ac:dyDescent="0.25">
      <c r="A90" s="1"/>
      <c r="B90" s="10">
        <f t="shared" si="0"/>
        <v>88</v>
      </c>
      <c r="C90" s="14" t="s">
        <v>29</v>
      </c>
      <c r="D90" s="12" t="s">
        <v>125</v>
      </c>
      <c r="E90" s="12" t="s">
        <v>284</v>
      </c>
      <c r="F90" s="12" t="s">
        <v>406</v>
      </c>
      <c r="G90" s="12" t="s">
        <v>506</v>
      </c>
      <c r="H90" s="12" t="s">
        <v>570</v>
      </c>
      <c r="I90" s="12" t="s">
        <v>662</v>
      </c>
      <c r="J90" s="12">
        <v>47</v>
      </c>
      <c r="K90" s="6">
        <f t="shared" si="3"/>
        <v>235</v>
      </c>
      <c r="L90" s="12" t="s">
        <v>700</v>
      </c>
      <c r="M90" s="7" t="s">
        <v>748</v>
      </c>
      <c r="N90" s="29">
        <f t="shared" si="4"/>
        <v>1.7155</v>
      </c>
      <c r="O90" s="15"/>
    </row>
    <row r="91" spans="1:15" x14ac:dyDescent="0.25">
      <c r="A91" s="1"/>
      <c r="B91" s="9">
        <f>ROW(B91) - ROW($B$2)</f>
        <v>89</v>
      </c>
      <c r="C91" s="13" t="s">
        <v>29</v>
      </c>
      <c r="D91" s="6" t="s">
        <v>126</v>
      </c>
      <c r="E91" s="6" t="s">
        <v>285</v>
      </c>
      <c r="F91" s="6" t="s">
        <v>406</v>
      </c>
      <c r="G91" s="6" t="s">
        <v>507</v>
      </c>
      <c r="H91" s="6" t="s">
        <v>570</v>
      </c>
      <c r="I91" s="6" t="s">
        <v>663</v>
      </c>
      <c r="J91" s="6">
        <v>6</v>
      </c>
      <c r="K91" s="6">
        <f t="shared" si="3"/>
        <v>30</v>
      </c>
      <c r="L91" s="12" t="s">
        <v>700</v>
      </c>
      <c r="M91" s="7" t="s">
        <v>727</v>
      </c>
      <c r="N91" s="29">
        <f t="shared" si="4"/>
        <v>0.44999999999999996</v>
      </c>
      <c r="O91" s="15"/>
    </row>
    <row r="92" spans="1:15" ht="25.5" x14ac:dyDescent="0.25">
      <c r="A92" s="1"/>
      <c r="B92" s="10">
        <f t="shared" si="0"/>
        <v>90</v>
      </c>
      <c r="C92" s="14" t="s">
        <v>29</v>
      </c>
      <c r="D92" s="16" t="s">
        <v>127</v>
      </c>
      <c r="E92" s="16" t="s">
        <v>286</v>
      </c>
      <c r="F92" s="16" t="s">
        <v>406</v>
      </c>
      <c r="G92" s="16" t="s">
        <v>508</v>
      </c>
      <c r="H92" s="16" t="s">
        <v>570</v>
      </c>
      <c r="I92" s="16" t="s">
        <v>664</v>
      </c>
      <c r="J92" s="16">
        <v>2</v>
      </c>
      <c r="K92" s="17">
        <f t="shared" si="3"/>
        <v>10</v>
      </c>
      <c r="L92" s="16" t="s">
        <v>700</v>
      </c>
      <c r="M92" s="18" t="s">
        <v>781</v>
      </c>
      <c r="N92" s="31" t="s">
        <v>781</v>
      </c>
      <c r="O92" s="30" t="s">
        <v>788</v>
      </c>
    </row>
    <row r="93" spans="1:15" x14ac:dyDescent="0.25">
      <c r="A93" s="1"/>
      <c r="B93" s="9">
        <f>ROW(B93) - ROW($B$2)</f>
        <v>91</v>
      </c>
      <c r="C93" s="13" t="s">
        <v>29</v>
      </c>
      <c r="D93" s="6" t="s">
        <v>128</v>
      </c>
      <c r="E93" s="6" t="s">
        <v>287</v>
      </c>
      <c r="F93" s="6" t="s">
        <v>408</v>
      </c>
      <c r="G93" s="6" t="s">
        <v>509</v>
      </c>
      <c r="H93" s="6" t="s">
        <v>570</v>
      </c>
      <c r="I93" s="6" t="s">
        <v>658</v>
      </c>
      <c r="J93" s="6">
        <v>4</v>
      </c>
      <c r="K93" s="6">
        <f t="shared" si="3"/>
        <v>20</v>
      </c>
      <c r="L93" s="12" t="s">
        <v>700</v>
      </c>
      <c r="M93" s="7" t="s">
        <v>751</v>
      </c>
      <c r="N93" s="29">
        <f t="shared" si="4"/>
        <v>0.38</v>
      </c>
      <c r="O93" s="15"/>
    </row>
    <row r="94" spans="1:15" ht="36" x14ac:dyDescent="0.25">
      <c r="A94" s="1"/>
      <c r="B94" s="10">
        <f t="shared" si="0"/>
        <v>92</v>
      </c>
      <c r="C94" s="14" t="s">
        <v>29</v>
      </c>
      <c r="D94" s="12" t="s">
        <v>129</v>
      </c>
      <c r="E94" s="12" t="s">
        <v>288</v>
      </c>
      <c r="F94" s="12" t="s">
        <v>406</v>
      </c>
      <c r="G94" s="12" t="s">
        <v>510</v>
      </c>
      <c r="H94" s="12" t="s">
        <v>570</v>
      </c>
      <c r="I94" s="12" t="s">
        <v>660</v>
      </c>
      <c r="J94" s="12">
        <v>18</v>
      </c>
      <c r="K94" s="6">
        <f t="shared" si="3"/>
        <v>90</v>
      </c>
      <c r="L94" s="12" t="s">
        <v>700</v>
      </c>
      <c r="M94" s="7" t="s">
        <v>752</v>
      </c>
      <c r="N94" s="29">
        <f t="shared" si="4"/>
        <v>0.79200000000000004</v>
      </c>
      <c r="O94" s="15"/>
    </row>
    <row r="95" spans="1:15" x14ac:dyDescent="0.25">
      <c r="A95" s="1"/>
      <c r="B95" s="9">
        <f>ROW(B95) - ROW($B$2)</f>
        <v>93</v>
      </c>
      <c r="C95" s="13" t="s">
        <v>29</v>
      </c>
      <c r="D95" s="6" t="s">
        <v>130</v>
      </c>
      <c r="E95" s="6" t="s">
        <v>289</v>
      </c>
      <c r="F95" s="6" t="s">
        <v>408</v>
      </c>
      <c r="G95" s="6" t="s">
        <v>511</v>
      </c>
      <c r="H95" s="6" t="s">
        <v>570</v>
      </c>
      <c r="I95" s="6" t="s">
        <v>665</v>
      </c>
      <c r="J95" s="6">
        <v>1</v>
      </c>
      <c r="K95" s="6">
        <f t="shared" si="3"/>
        <v>5</v>
      </c>
      <c r="L95" s="12" t="s">
        <v>700</v>
      </c>
      <c r="M95" s="7" t="s">
        <v>753</v>
      </c>
      <c r="N95" s="29">
        <f t="shared" si="4"/>
        <v>0.67315000000000003</v>
      </c>
      <c r="O95" s="15"/>
    </row>
    <row r="96" spans="1:15" ht="48" x14ac:dyDescent="0.25">
      <c r="A96" s="1"/>
      <c r="B96" s="10">
        <f t="shared" si="0"/>
        <v>94</v>
      </c>
      <c r="C96" s="13" t="s">
        <v>29</v>
      </c>
      <c r="D96" s="12" t="s">
        <v>131</v>
      </c>
      <c r="E96" s="12" t="s">
        <v>290</v>
      </c>
      <c r="F96" s="12" t="s">
        <v>406</v>
      </c>
      <c r="G96" s="12" t="s">
        <v>512</v>
      </c>
      <c r="H96" s="12" t="s">
        <v>570</v>
      </c>
      <c r="I96" s="12" t="s">
        <v>666</v>
      </c>
      <c r="J96" s="12">
        <v>25</v>
      </c>
      <c r="K96" s="6">
        <f t="shared" si="3"/>
        <v>125</v>
      </c>
      <c r="L96" s="12" t="s">
        <v>700</v>
      </c>
      <c r="M96" s="7" t="s">
        <v>754</v>
      </c>
      <c r="N96" s="29">
        <f t="shared" si="4"/>
        <v>0.5625</v>
      </c>
      <c r="O96" s="15"/>
    </row>
    <row r="97" spans="1:15" ht="24" x14ac:dyDescent="0.25">
      <c r="A97" s="1"/>
      <c r="B97" s="9">
        <f>ROW(B97) - ROW($B$2)</f>
        <v>95</v>
      </c>
      <c r="C97" s="13" t="s">
        <v>29</v>
      </c>
      <c r="D97" s="6" t="s">
        <v>132</v>
      </c>
      <c r="E97" s="6" t="s">
        <v>291</v>
      </c>
      <c r="F97" s="6" t="s">
        <v>406</v>
      </c>
      <c r="G97" s="6" t="s">
        <v>513</v>
      </c>
      <c r="H97" s="6" t="s">
        <v>570</v>
      </c>
      <c r="I97" s="6" t="s">
        <v>667</v>
      </c>
      <c r="J97" s="6">
        <v>8</v>
      </c>
      <c r="K97" s="6">
        <f t="shared" si="3"/>
        <v>40</v>
      </c>
      <c r="L97" s="12" t="s">
        <v>700</v>
      </c>
      <c r="M97" s="7" t="s">
        <v>720</v>
      </c>
      <c r="N97" s="29">
        <f t="shared" si="4"/>
        <v>0.84000000000000008</v>
      </c>
      <c r="O97" s="15"/>
    </row>
    <row r="98" spans="1:15" x14ac:dyDescent="0.25">
      <c r="A98" s="1"/>
      <c r="B98" s="10">
        <f t="shared" si="0"/>
        <v>96</v>
      </c>
      <c r="C98" s="14" t="s">
        <v>29</v>
      </c>
      <c r="D98" s="12" t="s">
        <v>133</v>
      </c>
      <c r="E98" s="12" t="s">
        <v>292</v>
      </c>
      <c r="F98" s="12" t="s">
        <v>409</v>
      </c>
      <c r="G98" s="12" t="s">
        <v>514</v>
      </c>
      <c r="H98" s="12" t="s">
        <v>570</v>
      </c>
      <c r="I98" s="12" t="s">
        <v>666</v>
      </c>
      <c r="J98" s="12">
        <v>4</v>
      </c>
      <c r="K98" s="6">
        <f t="shared" si="3"/>
        <v>20</v>
      </c>
      <c r="L98" s="12" t="s">
        <v>700</v>
      </c>
      <c r="M98" s="7" t="s">
        <v>755</v>
      </c>
      <c r="N98" s="29">
        <f t="shared" si="4"/>
        <v>0.62</v>
      </c>
      <c r="O98" s="15"/>
    </row>
    <row r="99" spans="1:15" x14ac:dyDescent="0.25">
      <c r="A99" s="1"/>
      <c r="B99" s="9">
        <f>ROW(B99) - ROW($B$2)</f>
        <v>97</v>
      </c>
      <c r="C99" s="13" t="s">
        <v>29</v>
      </c>
      <c r="D99" s="6" t="s">
        <v>134</v>
      </c>
      <c r="E99" s="6" t="s">
        <v>293</v>
      </c>
      <c r="F99" s="6" t="s">
        <v>406</v>
      </c>
      <c r="G99" s="6" t="s">
        <v>515</v>
      </c>
      <c r="H99" s="6" t="s">
        <v>570</v>
      </c>
      <c r="I99" s="6" t="s">
        <v>668</v>
      </c>
      <c r="J99" s="6">
        <v>4</v>
      </c>
      <c r="K99" s="6">
        <f t="shared" si="3"/>
        <v>20</v>
      </c>
      <c r="L99" s="12" t="s">
        <v>700</v>
      </c>
      <c r="M99" s="7" t="s">
        <v>727</v>
      </c>
      <c r="N99" s="29">
        <f t="shared" si="4"/>
        <v>0.3</v>
      </c>
      <c r="O99" s="15"/>
    </row>
    <row r="100" spans="1:15" x14ac:dyDescent="0.25">
      <c r="A100" s="1"/>
      <c r="B100" s="10">
        <f t="shared" si="0"/>
        <v>98</v>
      </c>
      <c r="C100" s="14" t="s">
        <v>29</v>
      </c>
      <c r="D100" s="12" t="s">
        <v>135</v>
      </c>
      <c r="E100" s="12" t="s">
        <v>294</v>
      </c>
      <c r="F100" s="12" t="s">
        <v>406</v>
      </c>
      <c r="G100" s="12" t="s">
        <v>516</v>
      </c>
      <c r="H100" s="12" t="s">
        <v>570</v>
      </c>
      <c r="I100" s="12" t="s">
        <v>669</v>
      </c>
      <c r="J100" s="12">
        <v>1</v>
      </c>
      <c r="K100" s="6">
        <f t="shared" si="3"/>
        <v>5</v>
      </c>
      <c r="L100" s="12" t="s">
        <v>700</v>
      </c>
      <c r="M100" s="7" t="s">
        <v>756</v>
      </c>
      <c r="N100" s="29">
        <f t="shared" si="4"/>
        <v>0.8</v>
      </c>
      <c r="O100" s="15"/>
    </row>
    <row r="101" spans="1:15" x14ac:dyDescent="0.25">
      <c r="A101" s="1"/>
      <c r="B101" s="9">
        <f>ROW(B101) - ROW($B$2)</f>
        <v>99</v>
      </c>
      <c r="C101" s="13" t="s">
        <v>29</v>
      </c>
      <c r="D101" s="6" t="s">
        <v>136</v>
      </c>
      <c r="E101" s="6" t="s">
        <v>295</v>
      </c>
      <c r="F101" s="6" t="s">
        <v>408</v>
      </c>
      <c r="G101" s="6" t="s">
        <v>517</v>
      </c>
      <c r="H101" s="6" t="s">
        <v>570</v>
      </c>
      <c r="I101" s="6" t="s">
        <v>670</v>
      </c>
      <c r="J101" s="6">
        <v>1</v>
      </c>
      <c r="K101" s="6">
        <f t="shared" si="3"/>
        <v>5</v>
      </c>
      <c r="L101" s="12" t="s">
        <v>700</v>
      </c>
      <c r="M101" s="7" t="s">
        <v>702</v>
      </c>
      <c r="N101" s="29">
        <f t="shared" si="4"/>
        <v>0.5</v>
      </c>
      <c r="O101" s="15"/>
    </row>
    <row r="102" spans="1:15" x14ac:dyDescent="0.25">
      <c r="A102" s="1"/>
      <c r="B102" s="10">
        <f t="shared" si="0"/>
        <v>100</v>
      </c>
      <c r="C102" s="13" t="s">
        <v>29</v>
      </c>
      <c r="D102" s="12" t="s">
        <v>137</v>
      </c>
      <c r="E102" s="12" t="s">
        <v>296</v>
      </c>
      <c r="F102" s="12" t="s">
        <v>408</v>
      </c>
      <c r="G102" s="12" t="s">
        <v>518</v>
      </c>
      <c r="H102" s="12" t="s">
        <v>610</v>
      </c>
      <c r="I102" s="12" t="s">
        <v>666</v>
      </c>
      <c r="J102" s="12">
        <v>2</v>
      </c>
      <c r="K102" s="6">
        <f t="shared" si="3"/>
        <v>10</v>
      </c>
      <c r="L102" s="12" t="s">
        <v>700</v>
      </c>
      <c r="M102" s="7" t="s">
        <v>728</v>
      </c>
      <c r="N102" s="29">
        <f t="shared" si="4"/>
        <v>0.37</v>
      </c>
      <c r="O102" s="15"/>
    </row>
    <row r="103" spans="1:15" x14ac:dyDescent="0.25">
      <c r="A103" s="1"/>
      <c r="B103" s="9">
        <f>ROW(B103) - ROW($B$2)</f>
        <v>101</v>
      </c>
      <c r="C103" s="13" t="s">
        <v>29</v>
      </c>
      <c r="D103" s="6" t="s">
        <v>138</v>
      </c>
      <c r="E103" s="6" t="s">
        <v>297</v>
      </c>
      <c r="F103" s="6" t="s">
        <v>408</v>
      </c>
      <c r="G103" s="6" t="s">
        <v>519</v>
      </c>
      <c r="H103" s="6" t="s">
        <v>570</v>
      </c>
      <c r="I103" s="6" t="s">
        <v>671</v>
      </c>
      <c r="J103" s="6">
        <v>1</v>
      </c>
      <c r="K103" s="6">
        <f t="shared" si="3"/>
        <v>5</v>
      </c>
      <c r="L103" s="12" t="s">
        <v>700</v>
      </c>
      <c r="M103" s="7" t="s">
        <v>702</v>
      </c>
      <c r="N103" s="29">
        <f t="shared" si="4"/>
        <v>0.5</v>
      </c>
      <c r="O103" s="15"/>
    </row>
    <row r="104" spans="1:15" ht="25.5" x14ac:dyDescent="0.25">
      <c r="A104" s="1"/>
      <c r="B104" s="10">
        <f t="shared" si="0"/>
        <v>102</v>
      </c>
      <c r="C104" s="14" t="s">
        <v>29</v>
      </c>
      <c r="D104" s="16" t="s">
        <v>139</v>
      </c>
      <c r="E104" s="16" t="s">
        <v>281</v>
      </c>
      <c r="F104" s="16" t="s">
        <v>406</v>
      </c>
      <c r="G104" s="16" t="s">
        <v>503</v>
      </c>
      <c r="H104" s="16" t="s">
        <v>570</v>
      </c>
      <c r="I104" s="16" t="s">
        <v>664</v>
      </c>
      <c r="J104" s="16">
        <v>2</v>
      </c>
      <c r="K104" s="17">
        <f t="shared" si="3"/>
        <v>10</v>
      </c>
      <c r="L104" s="16" t="s">
        <v>700</v>
      </c>
      <c r="M104" s="18" t="s">
        <v>781</v>
      </c>
      <c r="N104" s="31" t="s">
        <v>781</v>
      </c>
      <c r="O104" s="30" t="s">
        <v>788</v>
      </c>
    </row>
    <row r="105" spans="1:15" x14ac:dyDescent="0.25">
      <c r="A105" s="1"/>
      <c r="B105" s="9">
        <f>ROW(B105) - ROW($B$2)</f>
        <v>103</v>
      </c>
      <c r="C105" s="13" t="s">
        <v>29</v>
      </c>
      <c r="D105" s="6" t="s">
        <v>140</v>
      </c>
      <c r="E105" s="6" t="s">
        <v>298</v>
      </c>
      <c r="F105" s="6" t="s">
        <v>408</v>
      </c>
      <c r="G105" s="6" t="s">
        <v>520</v>
      </c>
      <c r="H105" s="6" t="s">
        <v>570</v>
      </c>
      <c r="I105" s="6" t="s">
        <v>672</v>
      </c>
      <c r="J105" s="6">
        <v>2</v>
      </c>
      <c r="K105" s="6">
        <f t="shared" si="3"/>
        <v>10</v>
      </c>
      <c r="L105" s="12" t="s">
        <v>700</v>
      </c>
      <c r="M105" s="7" t="s">
        <v>751</v>
      </c>
      <c r="N105" s="29">
        <f t="shared" si="4"/>
        <v>0.19</v>
      </c>
      <c r="O105" s="15"/>
    </row>
    <row r="106" spans="1:15" x14ac:dyDescent="0.25">
      <c r="A106" s="1"/>
      <c r="B106" s="10">
        <f t="shared" si="0"/>
        <v>104</v>
      </c>
      <c r="C106" s="13" t="s">
        <v>29</v>
      </c>
      <c r="D106" s="12" t="s">
        <v>141</v>
      </c>
      <c r="E106" s="12" t="s">
        <v>299</v>
      </c>
      <c r="F106" s="12" t="s">
        <v>406</v>
      </c>
      <c r="G106" s="12" t="s">
        <v>521</v>
      </c>
      <c r="H106" s="12" t="s">
        <v>570</v>
      </c>
      <c r="I106" s="12" t="s">
        <v>673</v>
      </c>
      <c r="J106" s="12">
        <v>2</v>
      </c>
      <c r="K106" s="6">
        <f t="shared" si="3"/>
        <v>10</v>
      </c>
      <c r="L106" s="12" t="s">
        <v>700</v>
      </c>
      <c r="M106" s="7" t="s">
        <v>727</v>
      </c>
      <c r="N106" s="29">
        <f t="shared" si="4"/>
        <v>0.15</v>
      </c>
      <c r="O106" s="15"/>
    </row>
    <row r="107" spans="1:15" x14ac:dyDescent="0.25">
      <c r="A107" s="1"/>
      <c r="B107" s="9">
        <f>ROW(B107) - ROW($B$2)</f>
        <v>105</v>
      </c>
      <c r="C107" s="13" t="s">
        <v>29</v>
      </c>
      <c r="D107" s="6" t="s">
        <v>142</v>
      </c>
      <c r="E107" s="6" t="s">
        <v>300</v>
      </c>
      <c r="F107" s="6" t="s">
        <v>408</v>
      </c>
      <c r="G107" s="6" t="s">
        <v>522</v>
      </c>
      <c r="H107" s="6" t="s">
        <v>611</v>
      </c>
      <c r="I107" s="6" t="s">
        <v>663</v>
      </c>
      <c r="J107" s="6">
        <v>2</v>
      </c>
      <c r="K107" s="6">
        <f t="shared" si="3"/>
        <v>10</v>
      </c>
      <c r="L107" s="12" t="s">
        <v>700</v>
      </c>
      <c r="M107" s="7" t="s">
        <v>757</v>
      </c>
      <c r="N107" s="29">
        <f t="shared" si="4"/>
        <v>0.26</v>
      </c>
      <c r="O107" s="15"/>
    </row>
    <row r="108" spans="1:15" x14ac:dyDescent="0.25">
      <c r="A108" s="1"/>
      <c r="B108" s="10">
        <f t="shared" si="0"/>
        <v>106</v>
      </c>
      <c r="C108" s="13" t="s">
        <v>29</v>
      </c>
      <c r="D108" s="12" t="s">
        <v>143</v>
      </c>
      <c r="E108" s="12" t="s">
        <v>301</v>
      </c>
      <c r="F108" s="12" t="s">
        <v>410</v>
      </c>
      <c r="G108" s="12" t="s">
        <v>523</v>
      </c>
      <c r="H108" s="12" t="s">
        <v>570</v>
      </c>
      <c r="I108" s="12" t="s">
        <v>659</v>
      </c>
      <c r="J108" s="12">
        <v>1</v>
      </c>
      <c r="K108" s="6">
        <f t="shared" si="3"/>
        <v>5</v>
      </c>
      <c r="L108" s="12" t="s">
        <v>700</v>
      </c>
      <c r="M108" s="7" t="s">
        <v>702</v>
      </c>
      <c r="N108" s="29">
        <f t="shared" si="4"/>
        <v>0.5</v>
      </c>
      <c r="O108" s="15"/>
    </row>
    <row r="109" spans="1:15" x14ac:dyDescent="0.25">
      <c r="A109" s="1"/>
      <c r="B109" s="9">
        <f>ROW(B109) - ROW($B$2)</f>
        <v>107</v>
      </c>
      <c r="C109" s="13" t="s">
        <v>29</v>
      </c>
      <c r="D109" s="6" t="s">
        <v>144</v>
      </c>
      <c r="E109" s="6" t="s">
        <v>302</v>
      </c>
      <c r="F109" s="6" t="s">
        <v>408</v>
      </c>
      <c r="G109" s="6" t="s">
        <v>524</v>
      </c>
      <c r="H109" s="6" t="s">
        <v>570</v>
      </c>
      <c r="I109" s="6" t="s">
        <v>674</v>
      </c>
      <c r="J109" s="6">
        <v>2</v>
      </c>
      <c r="K109" s="6">
        <f t="shared" si="3"/>
        <v>10</v>
      </c>
      <c r="L109" s="12" t="s">
        <v>700</v>
      </c>
      <c r="M109" s="7" t="s">
        <v>751</v>
      </c>
      <c r="N109" s="29">
        <f t="shared" si="4"/>
        <v>0.19</v>
      </c>
      <c r="O109" s="15"/>
    </row>
    <row r="110" spans="1:15" x14ac:dyDescent="0.25">
      <c r="A110" s="1"/>
      <c r="B110" s="10">
        <f t="shared" si="0"/>
        <v>108</v>
      </c>
      <c r="C110" s="13" t="s">
        <v>29</v>
      </c>
      <c r="D110" s="12" t="s">
        <v>145</v>
      </c>
      <c r="E110" s="12" t="s">
        <v>303</v>
      </c>
      <c r="F110" s="12" t="s">
        <v>408</v>
      </c>
      <c r="G110" s="12" t="s">
        <v>525</v>
      </c>
      <c r="H110" s="12" t="s">
        <v>570</v>
      </c>
      <c r="I110" s="12" t="s">
        <v>666</v>
      </c>
      <c r="J110" s="12">
        <v>5</v>
      </c>
      <c r="K110" s="6">
        <f t="shared" si="3"/>
        <v>25</v>
      </c>
      <c r="L110" s="12" t="s">
        <v>700</v>
      </c>
      <c r="M110" s="7" t="s">
        <v>758</v>
      </c>
      <c r="N110" s="29">
        <f t="shared" si="4"/>
        <v>0.27999999999999997</v>
      </c>
      <c r="O110" s="15"/>
    </row>
    <row r="111" spans="1:15" x14ac:dyDescent="0.25">
      <c r="A111" s="1"/>
      <c r="B111" s="9">
        <f>ROW(B111) - ROW($B$2)</f>
        <v>109</v>
      </c>
      <c r="C111" s="13" t="s">
        <v>29</v>
      </c>
      <c r="D111" s="6" t="s">
        <v>146</v>
      </c>
      <c r="E111" s="6" t="s">
        <v>304</v>
      </c>
      <c r="F111" s="6" t="s">
        <v>406</v>
      </c>
      <c r="G111" s="6" t="s">
        <v>526</v>
      </c>
      <c r="H111" s="6" t="s">
        <v>611</v>
      </c>
      <c r="I111" s="6" t="s">
        <v>675</v>
      </c>
      <c r="J111" s="6">
        <v>2</v>
      </c>
      <c r="K111" s="6">
        <f t="shared" si="3"/>
        <v>10</v>
      </c>
      <c r="L111" s="12" t="s">
        <v>700</v>
      </c>
      <c r="M111" s="7" t="s">
        <v>759</v>
      </c>
      <c r="N111" s="29">
        <f t="shared" si="4"/>
        <v>0.61</v>
      </c>
      <c r="O111" s="15"/>
    </row>
    <row r="112" spans="1:15" x14ac:dyDescent="0.25">
      <c r="A112" s="1"/>
      <c r="B112" s="10">
        <f t="shared" si="0"/>
        <v>110</v>
      </c>
      <c r="C112" s="14" t="s">
        <v>29</v>
      </c>
      <c r="D112" s="12" t="s">
        <v>147</v>
      </c>
      <c r="E112" s="12" t="s">
        <v>305</v>
      </c>
      <c r="F112" s="12" t="s">
        <v>406</v>
      </c>
      <c r="G112" s="12" t="s">
        <v>527</v>
      </c>
      <c r="H112" s="12" t="s">
        <v>570</v>
      </c>
      <c r="I112" s="12" t="s">
        <v>676</v>
      </c>
      <c r="J112" s="12">
        <v>2</v>
      </c>
      <c r="K112" s="6">
        <f t="shared" si="3"/>
        <v>10</v>
      </c>
      <c r="L112" s="12" t="s">
        <v>700</v>
      </c>
      <c r="M112" s="7" t="s">
        <v>727</v>
      </c>
      <c r="N112" s="29">
        <f t="shared" si="4"/>
        <v>0.15</v>
      </c>
      <c r="O112" s="15"/>
    </row>
    <row r="113" spans="1:15" ht="24" x14ac:dyDescent="0.25">
      <c r="A113" s="1"/>
      <c r="B113" s="9">
        <f>ROW(B113) - ROW($B$2)</f>
        <v>111</v>
      </c>
      <c r="C113" s="13" t="s">
        <v>29</v>
      </c>
      <c r="D113" s="6" t="s">
        <v>148</v>
      </c>
      <c r="E113" s="6" t="s">
        <v>286</v>
      </c>
      <c r="F113" s="6" t="s">
        <v>406</v>
      </c>
      <c r="G113" s="6" t="s">
        <v>508</v>
      </c>
      <c r="H113" s="6" t="s">
        <v>570</v>
      </c>
      <c r="I113" s="6" t="s">
        <v>677</v>
      </c>
      <c r="J113" s="6">
        <v>9</v>
      </c>
      <c r="K113" s="6">
        <f t="shared" si="3"/>
        <v>45</v>
      </c>
      <c r="L113" s="12" t="s">
        <v>700</v>
      </c>
      <c r="M113" s="7" t="s">
        <v>727</v>
      </c>
      <c r="N113" s="29">
        <f t="shared" si="4"/>
        <v>0.67499999999999993</v>
      </c>
      <c r="O113" s="15"/>
    </row>
    <row r="114" spans="1:15" x14ac:dyDescent="0.25">
      <c r="A114" s="1"/>
      <c r="B114" s="10">
        <f t="shared" si="0"/>
        <v>112</v>
      </c>
      <c r="C114" s="14" t="s">
        <v>29</v>
      </c>
      <c r="D114" s="12" t="s">
        <v>149</v>
      </c>
      <c r="E114" s="12" t="s">
        <v>306</v>
      </c>
      <c r="F114" s="12" t="s">
        <v>408</v>
      </c>
      <c r="G114" s="12" t="s">
        <v>528</v>
      </c>
      <c r="H114" s="12" t="s">
        <v>570</v>
      </c>
      <c r="I114" s="12" t="s">
        <v>669</v>
      </c>
      <c r="J114" s="12">
        <v>2</v>
      </c>
      <c r="K114" s="6">
        <f t="shared" si="3"/>
        <v>10</v>
      </c>
      <c r="L114" s="12" t="s">
        <v>700</v>
      </c>
      <c r="M114" s="7" t="s">
        <v>751</v>
      </c>
      <c r="N114" s="29">
        <f t="shared" si="4"/>
        <v>0.19</v>
      </c>
      <c r="O114" s="15"/>
    </row>
    <row r="115" spans="1:15" x14ac:dyDescent="0.25">
      <c r="A115" s="1"/>
      <c r="B115" s="9">
        <f>ROW(B115) - ROW($B$2)</f>
        <v>113</v>
      </c>
      <c r="C115" s="13" t="s">
        <v>29</v>
      </c>
      <c r="D115" s="6" t="s">
        <v>150</v>
      </c>
      <c r="E115" s="6" t="s">
        <v>307</v>
      </c>
      <c r="F115" s="6" t="s">
        <v>406</v>
      </c>
      <c r="G115" s="6" t="s">
        <v>529</v>
      </c>
      <c r="H115" s="6" t="s">
        <v>570</v>
      </c>
      <c r="I115" s="6" t="s">
        <v>678</v>
      </c>
      <c r="J115" s="6">
        <v>2</v>
      </c>
      <c r="K115" s="6">
        <f t="shared" si="3"/>
        <v>10</v>
      </c>
      <c r="L115" s="12" t="s">
        <v>700</v>
      </c>
      <c r="M115" s="7" t="s">
        <v>727</v>
      </c>
      <c r="N115" s="29">
        <f t="shared" si="4"/>
        <v>0.15</v>
      </c>
      <c r="O115" s="15"/>
    </row>
    <row r="116" spans="1:15" ht="24" x14ac:dyDescent="0.25">
      <c r="A116" s="1"/>
      <c r="B116" s="10">
        <f t="shared" si="0"/>
        <v>114</v>
      </c>
      <c r="C116" s="14" t="s">
        <v>29</v>
      </c>
      <c r="D116" s="12" t="s">
        <v>151</v>
      </c>
      <c r="E116" s="12" t="s">
        <v>308</v>
      </c>
      <c r="F116" s="12" t="s">
        <v>408</v>
      </c>
      <c r="G116" s="12" t="s">
        <v>530</v>
      </c>
      <c r="H116" s="12" t="s">
        <v>570</v>
      </c>
      <c r="I116" s="12" t="s">
        <v>679</v>
      </c>
      <c r="J116" s="12">
        <v>8</v>
      </c>
      <c r="K116" s="6">
        <f t="shared" si="3"/>
        <v>40</v>
      </c>
      <c r="L116" s="12" t="s">
        <v>700</v>
      </c>
      <c r="M116" s="7" t="s">
        <v>751</v>
      </c>
      <c r="N116" s="29">
        <f t="shared" si="4"/>
        <v>0.76</v>
      </c>
      <c r="O116" s="15"/>
    </row>
    <row r="117" spans="1:15" x14ac:dyDescent="0.25">
      <c r="A117" s="1"/>
      <c r="B117" s="9">
        <f>ROW(B117) - ROW($B$2)</f>
        <v>115</v>
      </c>
      <c r="C117" s="13" t="s">
        <v>29</v>
      </c>
      <c r="D117" s="6" t="s">
        <v>152</v>
      </c>
      <c r="E117" s="6" t="s">
        <v>309</v>
      </c>
      <c r="F117" s="6" t="s">
        <v>406</v>
      </c>
      <c r="G117" s="6" t="s">
        <v>531</v>
      </c>
      <c r="H117" s="6" t="s">
        <v>570</v>
      </c>
      <c r="I117" s="6" t="s">
        <v>680</v>
      </c>
      <c r="J117" s="6">
        <v>4</v>
      </c>
      <c r="K117" s="6">
        <f t="shared" si="3"/>
        <v>20</v>
      </c>
      <c r="L117" s="12" t="s">
        <v>700</v>
      </c>
      <c r="M117" s="7" t="s">
        <v>760</v>
      </c>
      <c r="N117" s="29">
        <f t="shared" si="4"/>
        <v>0.54</v>
      </c>
      <c r="O117" s="15"/>
    </row>
    <row r="118" spans="1:15" x14ac:dyDescent="0.25">
      <c r="A118" s="1"/>
      <c r="B118" s="10">
        <f t="shared" si="0"/>
        <v>116</v>
      </c>
      <c r="C118" s="14" t="s">
        <v>29</v>
      </c>
      <c r="D118" s="12" t="s">
        <v>153</v>
      </c>
      <c r="E118" s="12" t="s">
        <v>310</v>
      </c>
      <c r="F118" s="12" t="s">
        <v>408</v>
      </c>
      <c r="G118" s="12" t="s">
        <v>532</v>
      </c>
      <c r="H118" s="12" t="s">
        <v>570</v>
      </c>
      <c r="I118" s="12" t="s">
        <v>665</v>
      </c>
      <c r="J118" s="12">
        <v>2</v>
      </c>
      <c r="K118" s="6">
        <f t="shared" si="3"/>
        <v>10</v>
      </c>
      <c r="L118" s="12" t="s">
        <v>700</v>
      </c>
      <c r="M118" s="7" t="s">
        <v>751</v>
      </c>
      <c r="N118" s="29">
        <f t="shared" si="4"/>
        <v>0.19</v>
      </c>
      <c r="O118" s="15"/>
    </row>
    <row r="119" spans="1:15" x14ac:dyDescent="0.25">
      <c r="A119" s="1"/>
      <c r="B119" s="9">
        <f>ROW(B119) - ROW($B$2)</f>
        <v>117</v>
      </c>
      <c r="C119" s="13" t="s">
        <v>29</v>
      </c>
      <c r="D119" s="6" t="s">
        <v>154</v>
      </c>
      <c r="E119" s="6" t="s">
        <v>311</v>
      </c>
      <c r="F119" s="6" t="s">
        <v>408</v>
      </c>
      <c r="G119" s="6" t="s">
        <v>533</v>
      </c>
      <c r="H119" s="6" t="s">
        <v>570</v>
      </c>
      <c r="I119" s="6" t="s">
        <v>681</v>
      </c>
      <c r="J119" s="6">
        <v>2</v>
      </c>
      <c r="K119" s="6">
        <f t="shared" si="3"/>
        <v>10</v>
      </c>
      <c r="L119" s="12" t="s">
        <v>700</v>
      </c>
      <c r="M119" s="7" t="s">
        <v>751</v>
      </c>
      <c r="N119" s="29">
        <f t="shared" si="4"/>
        <v>0.19</v>
      </c>
      <c r="O119" s="15"/>
    </row>
    <row r="120" spans="1:15" ht="25.5" x14ac:dyDescent="0.25">
      <c r="A120" s="1"/>
      <c r="B120" s="10">
        <f t="shared" si="0"/>
        <v>118</v>
      </c>
      <c r="C120" s="14" t="s">
        <v>29</v>
      </c>
      <c r="D120" s="16" t="s">
        <v>155</v>
      </c>
      <c r="E120" s="16" t="s">
        <v>280</v>
      </c>
      <c r="F120" s="16" t="s">
        <v>406</v>
      </c>
      <c r="G120" s="16" t="s">
        <v>502</v>
      </c>
      <c r="H120" s="16" t="s">
        <v>570</v>
      </c>
      <c r="I120" s="16" t="s">
        <v>664</v>
      </c>
      <c r="J120" s="16">
        <v>3</v>
      </c>
      <c r="K120" s="17">
        <f t="shared" si="3"/>
        <v>15</v>
      </c>
      <c r="L120" s="16" t="s">
        <v>700</v>
      </c>
      <c r="M120" s="18" t="s">
        <v>781</v>
      </c>
      <c r="N120" s="31" t="s">
        <v>781</v>
      </c>
      <c r="O120" s="30" t="s">
        <v>788</v>
      </c>
    </row>
    <row r="121" spans="1:15" ht="25.5" x14ac:dyDescent="0.25">
      <c r="A121" s="1"/>
      <c r="B121" s="9">
        <f>ROW(B121) - ROW($B$2)</f>
        <v>119</v>
      </c>
      <c r="C121" s="14" t="s">
        <v>29</v>
      </c>
      <c r="D121" s="17" t="s">
        <v>156</v>
      </c>
      <c r="E121" s="17" t="s">
        <v>290</v>
      </c>
      <c r="F121" s="17" t="s">
        <v>406</v>
      </c>
      <c r="G121" s="17" t="s">
        <v>512</v>
      </c>
      <c r="H121" s="17" t="s">
        <v>570</v>
      </c>
      <c r="I121" s="17" t="s">
        <v>664</v>
      </c>
      <c r="J121" s="17">
        <v>3</v>
      </c>
      <c r="K121" s="17">
        <f t="shared" si="3"/>
        <v>15</v>
      </c>
      <c r="L121" s="16" t="s">
        <v>700</v>
      </c>
      <c r="M121" s="18" t="s">
        <v>781</v>
      </c>
      <c r="N121" s="31" t="s">
        <v>781</v>
      </c>
      <c r="O121" s="30" t="s">
        <v>788</v>
      </c>
    </row>
    <row r="122" spans="1:15" ht="25.5" x14ac:dyDescent="0.25">
      <c r="A122" s="1"/>
      <c r="B122" s="10">
        <f t="shared" si="0"/>
        <v>120</v>
      </c>
      <c r="C122" s="14" t="s">
        <v>29</v>
      </c>
      <c r="D122" s="16" t="s">
        <v>157</v>
      </c>
      <c r="E122" s="16" t="s">
        <v>312</v>
      </c>
      <c r="F122" s="16" t="s">
        <v>411</v>
      </c>
      <c r="G122" s="16" t="s">
        <v>534</v>
      </c>
      <c r="H122" s="16" t="s">
        <v>570</v>
      </c>
      <c r="I122" s="16" t="s">
        <v>664</v>
      </c>
      <c r="J122" s="16">
        <v>1</v>
      </c>
      <c r="K122" s="17">
        <f t="shared" si="3"/>
        <v>5</v>
      </c>
      <c r="L122" s="16" t="s">
        <v>700</v>
      </c>
      <c r="M122" s="18" t="s">
        <v>781</v>
      </c>
      <c r="N122" s="31" t="s">
        <v>781</v>
      </c>
      <c r="O122" s="30" t="s">
        <v>788</v>
      </c>
    </row>
    <row r="123" spans="1:15" x14ac:dyDescent="0.25">
      <c r="A123" s="1"/>
      <c r="B123" s="9">
        <f>ROW(B123) - ROW($B$2)</f>
        <v>121</v>
      </c>
      <c r="C123" s="13" t="s">
        <v>29</v>
      </c>
      <c r="D123" s="6" t="s">
        <v>158</v>
      </c>
      <c r="E123" s="6" t="s">
        <v>313</v>
      </c>
      <c r="F123" s="6" t="s">
        <v>411</v>
      </c>
      <c r="G123" s="6" t="s">
        <v>535</v>
      </c>
      <c r="H123" s="6" t="s">
        <v>570</v>
      </c>
      <c r="I123" s="6" t="s">
        <v>682</v>
      </c>
      <c r="J123" s="6">
        <v>1</v>
      </c>
      <c r="K123" s="6">
        <f t="shared" si="3"/>
        <v>5</v>
      </c>
      <c r="L123" s="12" t="s">
        <v>700</v>
      </c>
      <c r="M123" s="7" t="s">
        <v>761</v>
      </c>
      <c r="N123" s="29">
        <f t="shared" si="4"/>
        <v>0.70000000000000007</v>
      </c>
      <c r="O123" s="15"/>
    </row>
    <row r="124" spans="1:15" x14ac:dyDescent="0.25">
      <c r="A124" s="1"/>
      <c r="B124" s="10">
        <f t="shared" si="0"/>
        <v>122</v>
      </c>
      <c r="C124" s="14" t="s">
        <v>29</v>
      </c>
      <c r="D124" s="12" t="s">
        <v>159</v>
      </c>
      <c r="E124" s="12" t="s">
        <v>314</v>
      </c>
      <c r="F124" s="12" t="s">
        <v>406</v>
      </c>
      <c r="G124" s="12" t="s">
        <v>536</v>
      </c>
      <c r="H124" s="12" t="s">
        <v>570</v>
      </c>
      <c r="I124" s="12" t="s">
        <v>683</v>
      </c>
      <c r="J124" s="12">
        <v>2</v>
      </c>
      <c r="K124" s="6">
        <f t="shared" si="3"/>
        <v>10</v>
      </c>
      <c r="L124" s="12" t="s">
        <v>700</v>
      </c>
      <c r="M124" s="7" t="s">
        <v>727</v>
      </c>
      <c r="N124" s="29">
        <f t="shared" si="4"/>
        <v>0.15</v>
      </c>
      <c r="O124" s="15"/>
    </row>
    <row r="125" spans="1:15" x14ac:dyDescent="0.25">
      <c r="A125" s="1"/>
      <c r="B125" s="9">
        <f>ROW(B125) - ROW($B$2)</f>
        <v>123</v>
      </c>
      <c r="C125" s="14" t="s">
        <v>29</v>
      </c>
      <c r="D125" s="6" t="s">
        <v>160</v>
      </c>
      <c r="E125" s="6" t="s">
        <v>315</v>
      </c>
      <c r="F125" s="6" t="s">
        <v>406</v>
      </c>
      <c r="G125" s="6" t="s">
        <v>537</v>
      </c>
      <c r="H125" s="6" t="s">
        <v>570</v>
      </c>
      <c r="I125" s="6" t="s">
        <v>684</v>
      </c>
      <c r="J125" s="6">
        <v>1</v>
      </c>
      <c r="K125" s="6">
        <f t="shared" si="3"/>
        <v>5</v>
      </c>
      <c r="L125" s="12" t="s">
        <v>700</v>
      </c>
      <c r="M125" s="7" t="s">
        <v>702</v>
      </c>
      <c r="N125" s="29">
        <f t="shared" si="4"/>
        <v>0.5</v>
      </c>
      <c r="O125" s="15"/>
    </row>
    <row r="126" spans="1:15" x14ac:dyDescent="0.25">
      <c r="A126" s="1"/>
      <c r="B126" s="10">
        <f t="shared" si="0"/>
        <v>124</v>
      </c>
      <c r="C126" s="14" t="s">
        <v>29</v>
      </c>
      <c r="D126" s="12" t="s">
        <v>161</v>
      </c>
      <c r="E126" s="12" t="s">
        <v>316</v>
      </c>
      <c r="F126" s="12" t="s">
        <v>408</v>
      </c>
      <c r="G126" s="12" t="s">
        <v>538</v>
      </c>
      <c r="H126" s="12" t="s">
        <v>604</v>
      </c>
      <c r="I126" s="12" t="s">
        <v>685</v>
      </c>
      <c r="J126" s="12">
        <v>1</v>
      </c>
      <c r="K126" s="6">
        <f t="shared" si="3"/>
        <v>5</v>
      </c>
      <c r="L126" s="12" t="s">
        <v>700</v>
      </c>
      <c r="M126" s="7" t="s">
        <v>761</v>
      </c>
      <c r="N126" s="29">
        <f t="shared" si="4"/>
        <v>0.70000000000000007</v>
      </c>
      <c r="O126" s="15"/>
    </row>
    <row r="127" spans="1:15" x14ac:dyDescent="0.25">
      <c r="A127" s="1"/>
      <c r="B127" s="9">
        <f>ROW(B127) - ROW($B$2)</f>
        <v>125</v>
      </c>
      <c r="C127" s="13" t="s">
        <v>29</v>
      </c>
      <c r="D127" s="6" t="s">
        <v>162</v>
      </c>
      <c r="E127" s="6" t="s">
        <v>317</v>
      </c>
      <c r="F127" s="6" t="s">
        <v>408</v>
      </c>
      <c r="G127" s="6" t="s">
        <v>539</v>
      </c>
      <c r="H127" s="6" t="s">
        <v>570</v>
      </c>
      <c r="I127" s="6" t="s">
        <v>676</v>
      </c>
      <c r="J127" s="6">
        <v>1</v>
      </c>
      <c r="K127" s="6">
        <f t="shared" si="3"/>
        <v>5</v>
      </c>
      <c r="L127" s="12" t="s">
        <v>700</v>
      </c>
      <c r="M127" s="7" t="s">
        <v>702</v>
      </c>
      <c r="N127" s="29">
        <f t="shared" si="4"/>
        <v>0.5</v>
      </c>
      <c r="O127" s="15"/>
    </row>
    <row r="128" spans="1:15" x14ac:dyDescent="0.25">
      <c r="A128" s="1"/>
      <c r="B128" s="10">
        <f t="shared" si="0"/>
        <v>126</v>
      </c>
      <c r="C128" s="13" t="s">
        <v>29</v>
      </c>
      <c r="D128" s="12" t="s">
        <v>163</v>
      </c>
      <c r="E128" s="12" t="s">
        <v>318</v>
      </c>
      <c r="F128" s="12" t="s">
        <v>406</v>
      </c>
      <c r="G128" s="12" t="s">
        <v>540</v>
      </c>
      <c r="H128" s="12" t="s">
        <v>611</v>
      </c>
      <c r="I128" s="12" t="s">
        <v>672</v>
      </c>
      <c r="J128" s="12">
        <v>1</v>
      </c>
      <c r="K128" s="6">
        <f t="shared" si="3"/>
        <v>5</v>
      </c>
      <c r="L128" s="12" t="s">
        <v>700</v>
      </c>
      <c r="M128" s="7" t="s">
        <v>762</v>
      </c>
      <c r="N128" s="29">
        <f t="shared" si="4"/>
        <v>0.55000000000000004</v>
      </c>
      <c r="O128" s="15"/>
    </row>
    <row r="129" spans="1:15" ht="24" x14ac:dyDescent="0.25">
      <c r="A129" s="1"/>
      <c r="B129" s="9">
        <f>ROW(B129) - ROW($B$2)</f>
        <v>127</v>
      </c>
      <c r="C129" s="13" t="s">
        <v>29</v>
      </c>
      <c r="D129" s="6" t="s">
        <v>164</v>
      </c>
      <c r="E129" s="6" t="s">
        <v>319</v>
      </c>
      <c r="F129" s="6" t="s">
        <v>410</v>
      </c>
      <c r="G129" s="6" t="s">
        <v>541</v>
      </c>
      <c r="H129" s="6" t="s">
        <v>612</v>
      </c>
      <c r="I129" s="6" t="s">
        <v>686</v>
      </c>
      <c r="J129" s="6">
        <v>2</v>
      </c>
      <c r="K129" s="6">
        <f t="shared" si="3"/>
        <v>10</v>
      </c>
      <c r="L129" s="12" t="s">
        <v>783</v>
      </c>
      <c r="M129" s="7">
        <v>6.9999999999999999E-4</v>
      </c>
      <c r="N129" s="29">
        <f t="shared" si="4"/>
        <v>7.0000000000000001E-3</v>
      </c>
      <c r="O129" s="15"/>
    </row>
    <row r="130" spans="1:15" x14ac:dyDescent="0.25">
      <c r="A130" s="1"/>
      <c r="B130" s="10">
        <f t="shared" si="0"/>
        <v>128</v>
      </c>
      <c r="C130" s="14" t="s">
        <v>29</v>
      </c>
      <c r="D130" s="12" t="s">
        <v>165</v>
      </c>
      <c r="E130" s="12" t="s">
        <v>320</v>
      </c>
      <c r="F130" s="12" t="s">
        <v>410</v>
      </c>
      <c r="G130" s="12" t="s">
        <v>542</v>
      </c>
      <c r="H130" s="12" t="s">
        <v>570</v>
      </c>
      <c r="I130" s="12" t="s">
        <v>658</v>
      </c>
      <c r="J130" s="12">
        <v>1</v>
      </c>
      <c r="K130" s="6">
        <f t="shared" si="3"/>
        <v>5</v>
      </c>
      <c r="L130" s="12" t="s">
        <v>700</v>
      </c>
      <c r="M130" s="7" t="s">
        <v>702</v>
      </c>
      <c r="N130" s="29">
        <f t="shared" si="4"/>
        <v>0.5</v>
      </c>
      <c r="O130" s="15"/>
    </row>
    <row r="131" spans="1:15" x14ac:dyDescent="0.25">
      <c r="A131" s="1"/>
      <c r="B131" s="9">
        <f>ROW(B131) - ROW($B$2)</f>
        <v>129</v>
      </c>
      <c r="C131" s="13" t="s">
        <v>29</v>
      </c>
      <c r="D131" s="6" t="s">
        <v>166</v>
      </c>
      <c r="E131" s="6" t="s">
        <v>321</v>
      </c>
      <c r="F131" s="6" t="s">
        <v>406</v>
      </c>
      <c r="G131" s="6" t="s">
        <v>543</v>
      </c>
      <c r="H131" s="6" t="s">
        <v>570</v>
      </c>
      <c r="I131" s="6" t="s">
        <v>687</v>
      </c>
      <c r="J131" s="6">
        <v>1</v>
      </c>
      <c r="K131" s="6">
        <f t="shared" si="3"/>
        <v>5</v>
      </c>
      <c r="L131" s="12" t="s">
        <v>700</v>
      </c>
      <c r="M131" s="7" t="s">
        <v>702</v>
      </c>
      <c r="N131" s="29">
        <f t="shared" si="4"/>
        <v>0.5</v>
      </c>
      <c r="O131" s="15"/>
    </row>
    <row r="132" spans="1:15" x14ac:dyDescent="0.25">
      <c r="A132" s="1"/>
      <c r="B132" s="10">
        <f t="shared" si="0"/>
        <v>130</v>
      </c>
      <c r="C132" s="14" t="s">
        <v>30</v>
      </c>
      <c r="D132" s="12" t="s">
        <v>167</v>
      </c>
      <c r="E132" s="12" t="s">
        <v>322</v>
      </c>
      <c r="F132" s="12" t="s">
        <v>412</v>
      </c>
      <c r="G132" s="12" t="s">
        <v>412</v>
      </c>
      <c r="H132" s="12" t="s">
        <v>570</v>
      </c>
      <c r="I132" s="12" t="s">
        <v>658</v>
      </c>
      <c r="J132" s="12">
        <v>3</v>
      </c>
      <c r="K132" s="6">
        <f t="shared" ref="K132:K163" si="5">J132*5</f>
        <v>15</v>
      </c>
      <c r="L132" s="12" t="s">
        <v>700</v>
      </c>
      <c r="M132" s="7" t="s">
        <v>749</v>
      </c>
      <c r="N132" s="29">
        <f t="shared" ref="N132:N163" si="6">M132*K132</f>
        <v>1.7550000000000001</v>
      </c>
      <c r="O132" s="15"/>
    </row>
    <row r="133" spans="1:15" x14ac:dyDescent="0.25">
      <c r="A133" s="1"/>
      <c r="B133" s="9">
        <f>ROW(B133) - ROW($B$2)</f>
        <v>131</v>
      </c>
      <c r="C133" s="13" t="s">
        <v>29</v>
      </c>
      <c r="D133" s="6" t="s">
        <v>168</v>
      </c>
      <c r="E133" s="6" t="s">
        <v>323</v>
      </c>
      <c r="F133" s="6" t="s">
        <v>408</v>
      </c>
      <c r="G133" s="6" t="s">
        <v>544</v>
      </c>
      <c r="H133" s="6" t="s">
        <v>570</v>
      </c>
      <c r="I133" s="6" t="s">
        <v>686</v>
      </c>
      <c r="J133" s="6">
        <v>1</v>
      </c>
      <c r="K133" s="6">
        <f t="shared" si="5"/>
        <v>5</v>
      </c>
      <c r="L133" s="12" t="s">
        <v>700</v>
      </c>
      <c r="M133" s="7" t="s">
        <v>702</v>
      </c>
      <c r="N133" s="29">
        <f t="shared" si="6"/>
        <v>0.5</v>
      </c>
      <c r="O133" s="15"/>
    </row>
    <row r="134" spans="1:15" x14ac:dyDescent="0.25">
      <c r="A134" s="1"/>
      <c r="B134" s="10">
        <f t="shared" si="0"/>
        <v>132</v>
      </c>
      <c r="C134" s="13" t="s">
        <v>29</v>
      </c>
      <c r="D134" s="12" t="s">
        <v>169</v>
      </c>
      <c r="E134" s="12" t="s">
        <v>324</v>
      </c>
      <c r="F134" s="12" t="s">
        <v>406</v>
      </c>
      <c r="G134" s="12" t="s">
        <v>545</v>
      </c>
      <c r="H134" s="12" t="s">
        <v>570</v>
      </c>
      <c r="I134" s="12" t="s">
        <v>688</v>
      </c>
      <c r="J134" s="12">
        <v>1</v>
      </c>
      <c r="K134" s="6">
        <f t="shared" si="5"/>
        <v>5</v>
      </c>
      <c r="L134" s="12" t="s">
        <v>700</v>
      </c>
      <c r="M134" s="7" t="s">
        <v>702</v>
      </c>
      <c r="N134" s="29">
        <f t="shared" si="6"/>
        <v>0.5</v>
      </c>
      <c r="O134" s="15"/>
    </row>
    <row r="135" spans="1:15" ht="36" x14ac:dyDescent="0.25">
      <c r="A135" s="1"/>
      <c r="B135" s="9">
        <f>ROW(B135) - ROW($B$2)</f>
        <v>133</v>
      </c>
      <c r="C135" s="13" t="s">
        <v>698</v>
      </c>
      <c r="D135" s="6" t="s">
        <v>170</v>
      </c>
      <c r="E135" s="6" t="s">
        <v>325</v>
      </c>
      <c r="F135" s="6" t="s">
        <v>413</v>
      </c>
      <c r="G135" s="6" t="s">
        <v>546</v>
      </c>
      <c r="H135" s="6" t="s">
        <v>613</v>
      </c>
      <c r="I135" s="6" t="s">
        <v>781</v>
      </c>
      <c r="J135" s="6">
        <v>6</v>
      </c>
      <c r="K135" s="6">
        <f t="shared" si="5"/>
        <v>30</v>
      </c>
      <c r="L135" s="12" t="s">
        <v>783</v>
      </c>
      <c r="M135" s="7">
        <v>5.5399999999999998E-2</v>
      </c>
      <c r="N135" s="29">
        <f t="shared" si="6"/>
        <v>1.6619999999999999</v>
      </c>
      <c r="O135" s="15"/>
    </row>
    <row r="136" spans="1:15" ht="24" x14ac:dyDescent="0.25">
      <c r="A136" s="1"/>
      <c r="B136" s="10">
        <f t="shared" si="0"/>
        <v>134</v>
      </c>
      <c r="C136" s="14" t="s">
        <v>31</v>
      </c>
      <c r="D136" s="12" t="s">
        <v>171</v>
      </c>
      <c r="E136" s="12" t="s">
        <v>326</v>
      </c>
      <c r="F136" s="12" t="s">
        <v>414</v>
      </c>
      <c r="G136" s="12" t="s">
        <v>414</v>
      </c>
      <c r="H136" s="12" t="s">
        <v>569</v>
      </c>
      <c r="I136" s="6" t="s">
        <v>781</v>
      </c>
      <c r="J136" s="12">
        <v>2</v>
      </c>
      <c r="K136" s="6">
        <f t="shared" si="5"/>
        <v>10</v>
      </c>
      <c r="L136" s="12" t="s">
        <v>700</v>
      </c>
      <c r="M136" s="7" t="s">
        <v>763</v>
      </c>
      <c r="N136" s="29">
        <f t="shared" si="6"/>
        <v>67.27000000000001</v>
      </c>
      <c r="O136" s="15"/>
    </row>
    <row r="137" spans="1:15" ht="25.5" x14ac:dyDescent="0.25">
      <c r="A137" s="1"/>
      <c r="B137" s="9">
        <f>ROW(B137) - ROW($B$2)</f>
        <v>135</v>
      </c>
      <c r="C137" s="13" t="s">
        <v>32</v>
      </c>
      <c r="D137" s="17" t="s">
        <v>172</v>
      </c>
      <c r="E137" s="17" t="s">
        <v>327</v>
      </c>
      <c r="F137" s="17" t="s">
        <v>415</v>
      </c>
      <c r="G137" s="17"/>
      <c r="H137" s="17"/>
      <c r="I137" s="17" t="s">
        <v>664</v>
      </c>
      <c r="J137" s="17">
        <v>2</v>
      </c>
      <c r="K137" s="17">
        <f t="shared" si="5"/>
        <v>10</v>
      </c>
      <c r="L137" s="16" t="s">
        <v>781</v>
      </c>
      <c r="M137" s="18" t="s">
        <v>781</v>
      </c>
      <c r="N137" s="31" t="s">
        <v>781</v>
      </c>
      <c r="O137" s="30" t="s">
        <v>788</v>
      </c>
    </row>
    <row r="138" spans="1:15" ht="24" x14ac:dyDescent="0.25">
      <c r="A138" s="1"/>
      <c r="B138" s="10">
        <f t="shared" si="0"/>
        <v>136</v>
      </c>
      <c r="C138" s="14" t="s">
        <v>8</v>
      </c>
      <c r="D138" s="12" t="s">
        <v>173</v>
      </c>
      <c r="E138" s="12" t="s">
        <v>328</v>
      </c>
      <c r="F138" s="12" t="s">
        <v>416</v>
      </c>
      <c r="G138" s="12" t="s">
        <v>547</v>
      </c>
      <c r="H138" s="12" t="s">
        <v>614</v>
      </c>
      <c r="I138" s="12" t="s">
        <v>781</v>
      </c>
      <c r="J138" s="12">
        <v>1</v>
      </c>
      <c r="K138" s="6">
        <f t="shared" si="5"/>
        <v>5</v>
      </c>
      <c r="L138" s="12" t="s">
        <v>783</v>
      </c>
      <c r="M138" s="7">
        <v>0.27529999999999999</v>
      </c>
      <c r="N138" s="29">
        <f t="shared" si="6"/>
        <v>1.3765000000000001</v>
      </c>
      <c r="O138" s="15"/>
    </row>
    <row r="139" spans="1:15" x14ac:dyDescent="0.25">
      <c r="A139" s="1"/>
      <c r="B139" s="9">
        <f>ROW(B139) - ROW($B$2)</f>
        <v>137</v>
      </c>
      <c r="C139" s="13" t="s">
        <v>8</v>
      </c>
      <c r="D139" s="6" t="s">
        <v>174</v>
      </c>
      <c r="E139" s="6" t="s">
        <v>329</v>
      </c>
      <c r="F139" s="6" t="s">
        <v>417</v>
      </c>
      <c r="G139" s="6" t="s">
        <v>548</v>
      </c>
      <c r="H139" s="6" t="s">
        <v>615</v>
      </c>
      <c r="I139" s="12" t="s">
        <v>781</v>
      </c>
      <c r="J139" s="6">
        <v>1</v>
      </c>
      <c r="K139" s="6">
        <f t="shared" si="5"/>
        <v>5</v>
      </c>
      <c r="L139" s="12" t="s">
        <v>700</v>
      </c>
      <c r="M139" s="7">
        <v>2.2599999999999998</v>
      </c>
      <c r="N139" s="29">
        <f t="shared" si="6"/>
        <v>11.299999999999999</v>
      </c>
      <c r="O139" s="15"/>
    </row>
    <row r="140" spans="1:15" x14ac:dyDescent="0.25">
      <c r="A140" s="1"/>
      <c r="B140" s="10">
        <f t="shared" si="0"/>
        <v>138</v>
      </c>
      <c r="C140" s="13" t="s">
        <v>8</v>
      </c>
      <c r="D140" s="12" t="s">
        <v>175</v>
      </c>
      <c r="E140" s="12" t="s">
        <v>330</v>
      </c>
      <c r="F140" s="12" t="s">
        <v>418</v>
      </c>
      <c r="G140" s="12" t="s">
        <v>549</v>
      </c>
      <c r="H140" s="12" t="s">
        <v>578</v>
      </c>
      <c r="I140" s="12" t="s">
        <v>781</v>
      </c>
      <c r="J140" s="12">
        <v>2</v>
      </c>
      <c r="K140" s="6">
        <f t="shared" si="5"/>
        <v>10</v>
      </c>
      <c r="L140" s="12" t="s">
        <v>700</v>
      </c>
      <c r="M140" s="7" t="s">
        <v>764</v>
      </c>
      <c r="N140" s="29">
        <f t="shared" si="6"/>
        <v>3.19</v>
      </c>
      <c r="O140" s="15"/>
    </row>
    <row r="141" spans="1:15" x14ac:dyDescent="0.25">
      <c r="A141" s="1"/>
      <c r="B141" s="9">
        <f>ROW(B141) - ROW($B$2)</f>
        <v>139</v>
      </c>
      <c r="C141" s="13" t="s">
        <v>8</v>
      </c>
      <c r="D141" s="6" t="s">
        <v>176</v>
      </c>
      <c r="E141" s="6" t="s">
        <v>331</v>
      </c>
      <c r="F141" s="6" t="s">
        <v>419</v>
      </c>
      <c r="G141" s="6" t="s">
        <v>550</v>
      </c>
      <c r="H141" s="6" t="s">
        <v>615</v>
      </c>
      <c r="I141" s="12" t="s">
        <v>781</v>
      </c>
      <c r="J141" s="6">
        <v>1</v>
      </c>
      <c r="K141" s="6">
        <f t="shared" si="5"/>
        <v>5</v>
      </c>
      <c r="L141" s="12" t="s">
        <v>700</v>
      </c>
      <c r="M141" s="7" t="s">
        <v>765</v>
      </c>
      <c r="N141" s="29">
        <f t="shared" si="6"/>
        <v>5.8999999999999995</v>
      </c>
      <c r="O141" s="15"/>
    </row>
    <row r="142" spans="1:15" ht="24" x14ac:dyDescent="0.25">
      <c r="A142" s="1"/>
      <c r="B142" s="10">
        <f t="shared" si="0"/>
        <v>140</v>
      </c>
      <c r="C142" s="14" t="s">
        <v>8</v>
      </c>
      <c r="D142" s="12" t="s">
        <v>177</v>
      </c>
      <c r="E142" s="12" t="s">
        <v>332</v>
      </c>
      <c r="F142" s="12" t="s">
        <v>420</v>
      </c>
      <c r="G142" s="12" t="s">
        <v>551</v>
      </c>
      <c r="H142" s="12" t="s">
        <v>616</v>
      </c>
      <c r="I142" s="12" t="s">
        <v>781</v>
      </c>
      <c r="J142" s="12">
        <v>4</v>
      </c>
      <c r="K142" s="6">
        <f t="shared" si="5"/>
        <v>20</v>
      </c>
      <c r="L142" s="12" t="s">
        <v>783</v>
      </c>
      <c r="M142" s="7">
        <v>9.5200000000000007E-2</v>
      </c>
      <c r="N142" s="29">
        <f t="shared" si="6"/>
        <v>1.9040000000000001</v>
      </c>
      <c r="O142" s="15"/>
    </row>
    <row r="143" spans="1:15" x14ac:dyDescent="0.25">
      <c r="A143" s="1"/>
      <c r="B143" s="9">
        <f>ROW(B143) - ROW($B$2)</f>
        <v>141</v>
      </c>
      <c r="C143" s="13" t="s">
        <v>8</v>
      </c>
      <c r="D143" s="6" t="s">
        <v>178</v>
      </c>
      <c r="E143" s="6" t="s">
        <v>333</v>
      </c>
      <c r="F143" s="6" t="s">
        <v>421</v>
      </c>
      <c r="G143" s="6" t="s">
        <v>552</v>
      </c>
      <c r="H143" s="6" t="s">
        <v>617</v>
      </c>
      <c r="I143" s="12" t="s">
        <v>781</v>
      </c>
      <c r="J143" s="6">
        <v>1</v>
      </c>
      <c r="K143" s="6">
        <f t="shared" si="5"/>
        <v>5</v>
      </c>
      <c r="L143" s="12" t="s">
        <v>700</v>
      </c>
      <c r="M143" s="7" t="s">
        <v>766</v>
      </c>
      <c r="N143" s="29">
        <f t="shared" si="6"/>
        <v>7.55</v>
      </c>
      <c r="O143" s="15"/>
    </row>
    <row r="144" spans="1:15" ht="24" x14ac:dyDescent="0.25">
      <c r="A144" s="1"/>
      <c r="B144" s="10">
        <f t="shared" si="0"/>
        <v>142</v>
      </c>
      <c r="C144" s="14" t="s">
        <v>8</v>
      </c>
      <c r="D144" s="12" t="s">
        <v>179</v>
      </c>
      <c r="E144" s="12" t="s">
        <v>334</v>
      </c>
      <c r="F144" s="12" t="s">
        <v>422</v>
      </c>
      <c r="G144" s="12" t="s">
        <v>553</v>
      </c>
      <c r="H144" s="12" t="s">
        <v>615</v>
      </c>
      <c r="I144" s="12" t="s">
        <v>781</v>
      </c>
      <c r="J144" s="12">
        <v>1</v>
      </c>
      <c r="K144" s="6">
        <f t="shared" si="5"/>
        <v>5</v>
      </c>
      <c r="L144" s="12" t="s">
        <v>700</v>
      </c>
      <c r="M144" s="7" t="s">
        <v>767</v>
      </c>
      <c r="N144" s="29">
        <f t="shared" si="6"/>
        <v>8.9499999999999993</v>
      </c>
      <c r="O144" s="15"/>
    </row>
    <row r="145" spans="1:15" x14ac:dyDescent="0.25">
      <c r="A145" s="1"/>
      <c r="B145" s="9">
        <f>ROW(B145) - ROW($B$2)</f>
        <v>143</v>
      </c>
      <c r="C145" s="13" t="s">
        <v>8</v>
      </c>
      <c r="D145" s="6" t="s">
        <v>180</v>
      </c>
      <c r="E145" s="6" t="s">
        <v>335</v>
      </c>
      <c r="F145" s="6" t="s">
        <v>423</v>
      </c>
      <c r="G145" s="6" t="s">
        <v>554</v>
      </c>
      <c r="H145" s="6" t="s">
        <v>618</v>
      </c>
      <c r="I145" s="12" t="s">
        <v>781</v>
      </c>
      <c r="J145" s="6">
        <v>1</v>
      </c>
      <c r="K145" s="6">
        <f t="shared" si="5"/>
        <v>5</v>
      </c>
      <c r="L145" s="12" t="s">
        <v>700</v>
      </c>
      <c r="M145" s="7" t="s">
        <v>768</v>
      </c>
      <c r="N145" s="29">
        <f t="shared" si="6"/>
        <v>12.626999999999999</v>
      </c>
      <c r="O145" s="15"/>
    </row>
    <row r="146" spans="1:15" x14ac:dyDescent="0.25">
      <c r="A146" s="1"/>
      <c r="B146" s="10">
        <f t="shared" si="0"/>
        <v>144</v>
      </c>
      <c r="C146" s="14" t="s">
        <v>8</v>
      </c>
      <c r="D146" s="12" t="s">
        <v>181</v>
      </c>
      <c r="E146" s="12" t="s">
        <v>336</v>
      </c>
      <c r="F146" s="12" t="s">
        <v>423</v>
      </c>
      <c r="G146" s="12" t="s">
        <v>555</v>
      </c>
      <c r="H146" s="12" t="s">
        <v>619</v>
      </c>
      <c r="I146" s="12" t="s">
        <v>781</v>
      </c>
      <c r="J146" s="12">
        <v>1</v>
      </c>
      <c r="K146" s="6">
        <f t="shared" si="5"/>
        <v>5</v>
      </c>
      <c r="L146" s="12" t="s">
        <v>700</v>
      </c>
      <c r="M146" s="7" t="s">
        <v>769</v>
      </c>
      <c r="N146" s="29">
        <f t="shared" si="6"/>
        <v>27.85</v>
      </c>
      <c r="O146" s="15"/>
    </row>
    <row r="147" spans="1:15" ht="24" x14ac:dyDescent="0.25">
      <c r="A147" s="1"/>
      <c r="B147" s="9">
        <f>ROW(B147) - ROW($B$2)</f>
        <v>145</v>
      </c>
      <c r="C147" s="13" t="s">
        <v>33</v>
      </c>
      <c r="D147" s="6" t="s">
        <v>182</v>
      </c>
      <c r="E147" s="6" t="s">
        <v>337</v>
      </c>
      <c r="F147" s="6" t="s">
        <v>424</v>
      </c>
      <c r="G147" s="6" t="s">
        <v>424</v>
      </c>
      <c r="H147" s="6" t="s">
        <v>620</v>
      </c>
      <c r="I147" s="12" t="s">
        <v>781</v>
      </c>
      <c r="J147" s="6">
        <v>1</v>
      </c>
      <c r="K147" s="6">
        <f t="shared" si="5"/>
        <v>5</v>
      </c>
      <c r="L147" s="12" t="s">
        <v>700</v>
      </c>
      <c r="M147" s="7" t="s">
        <v>770</v>
      </c>
      <c r="N147" s="29">
        <f t="shared" si="6"/>
        <v>90.15</v>
      </c>
      <c r="O147" s="15"/>
    </row>
    <row r="148" spans="1:15" x14ac:dyDescent="0.25">
      <c r="A148" s="1"/>
      <c r="B148" s="10">
        <f t="shared" si="0"/>
        <v>146</v>
      </c>
      <c r="C148" s="14" t="s">
        <v>8</v>
      </c>
      <c r="D148" s="12" t="s">
        <v>183</v>
      </c>
      <c r="E148" s="12" t="s">
        <v>338</v>
      </c>
      <c r="F148" s="12" t="s">
        <v>425</v>
      </c>
      <c r="G148" s="12" t="s">
        <v>425</v>
      </c>
      <c r="H148" s="12" t="s">
        <v>615</v>
      </c>
      <c r="I148" s="12" t="s">
        <v>781</v>
      </c>
      <c r="J148" s="12">
        <v>1</v>
      </c>
      <c r="K148" s="6">
        <f t="shared" si="5"/>
        <v>5</v>
      </c>
      <c r="L148" s="12" t="s">
        <v>700</v>
      </c>
      <c r="M148" s="7" t="s">
        <v>771</v>
      </c>
      <c r="N148" s="29">
        <f t="shared" si="6"/>
        <v>5.3000000000000007</v>
      </c>
      <c r="O148" s="15"/>
    </row>
    <row r="149" spans="1:15" ht="24" x14ac:dyDescent="0.25">
      <c r="A149" s="1"/>
      <c r="B149" s="9">
        <f>ROW(B149) - ROW($B$2)</f>
        <v>147</v>
      </c>
      <c r="C149" s="13" t="s">
        <v>34</v>
      </c>
      <c r="D149" s="6" t="s">
        <v>184</v>
      </c>
      <c r="E149" s="6" t="s">
        <v>339</v>
      </c>
      <c r="F149" s="6" t="s">
        <v>368</v>
      </c>
      <c r="G149" s="6" t="s">
        <v>556</v>
      </c>
      <c r="H149" s="6" t="s">
        <v>621</v>
      </c>
      <c r="I149" s="12" t="s">
        <v>781</v>
      </c>
      <c r="J149" s="6">
        <v>2</v>
      </c>
      <c r="K149" s="6">
        <f t="shared" si="5"/>
        <v>10</v>
      </c>
      <c r="L149" s="12" t="s">
        <v>783</v>
      </c>
      <c r="M149" s="7">
        <v>2.4799999999999999E-2</v>
      </c>
      <c r="N149" s="29">
        <f t="shared" si="6"/>
        <v>0.248</v>
      </c>
      <c r="O149" s="15"/>
    </row>
    <row r="150" spans="1:15" ht="24" x14ac:dyDescent="0.25">
      <c r="A150" s="1"/>
      <c r="B150" s="10">
        <f t="shared" si="0"/>
        <v>148</v>
      </c>
      <c r="C150" s="14" t="s">
        <v>8</v>
      </c>
      <c r="D150" s="12" t="s">
        <v>185</v>
      </c>
      <c r="E150" s="12" t="s">
        <v>340</v>
      </c>
      <c r="F150" s="12" t="s">
        <v>426</v>
      </c>
      <c r="G150" s="12" t="s">
        <v>557</v>
      </c>
      <c r="H150" s="12" t="s">
        <v>622</v>
      </c>
      <c r="I150" s="12" t="s">
        <v>781</v>
      </c>
      <c r="J150" s="12">
        <v>1</v>
      </c>
      <c r="K150" s="6">
        <f t="shared" si="5"/>
        <v>5</v>
      </c>
      <c r="L150" s="12" t="s">
        <v>783</v>
      </c>
      <c r="M150" s="7">
        <v>8.9091000000000005</v>
      </c>
      <c r="N150" s="29">
        <f t="shared" si="6"/>
        <v>44.545500000000004</v>
      </c>
      <c r="O150" s="15"/>
    </row>
    <row r="151" spans="1:15" ht="25.5" x14ac:dyDescent="0.25">
      <c r="A151" s="1"/>
      <c r="B151" s="9">
        <f>ROW(B151) - ROW($B$2)</f>
        <v>149</v>
      </c>
      <c r="C151" s="13" t="s">
        <v>35</v>
      </c>
      <c r="D151" s="6" t="s">
        <v>186</v>
      </c>
      <c r="E151" s="6" t="s">
        <v>341</v>
      </c>
      <c r="F151" s="6" t="s">
        <v>427</v>
      </c>
      <c r="G151" s="6" t="s">
        <v>558</v>
      </c>
      <c r="H151" s="6" t="s">
        <v>623</v>
      </c>
      <c r="I151" s="12" t="s">
        <v>781</v>
      </c>
      <c r="J151" s="6">
        <v>1</v>
      </c>
      <c r="K151" s="6">
        <f t="shared" si="5"/>
        <v>5</v>
      </c>
      <c r="L151" s="12" t="s">
        <v>783</v>
      </c>
      <c r="M151" s="7">
        <v>0.52500000000000002</v>
      </c>
      <c r="N151" s="29">
        <f t="shared" si="6"/>
        <v>2.625</v>
      </c>
      <c r="O151" s="15"/>
    </row>
    <row r="152" spans="1:15" ht="60" x14ac:dyDescent="0.25">
      <c r="A152" s="1"/>
      <c r="B152" s="10">
        <f t="shared" si="0"/>
        <v>150</v>
      </c>
      <c r="C152" s="14" t="s">
        <v>8</v>
      </c>
      <c r="D152" s="12" t="s">
        <v>187</v>
      </c>
      <c r="E152" s="12" t="s">
        <v>342</v>
      </c>
      <c r="F152" s="12" t="s">
        <v>428</v>
      </c>
      <c r="G152" s="12" t="s">
        <v>559</v>
      </c>
      <c r="H152" s="12" t="s">
        <v>624</v>
      </c>
      <c r="I152" s="12" t="s">
        <v>781</v>
      </c>
      <c r="J152" s="12">
        <v>1</v>
      </c>
      <c r="K152" s="6">
        <f t="shared" si="5"/>
        <v>5</v>
      </c>
      <c r="L152" s="12" t="s">
        <v>783</v>
      </c>
      <c r="M152" s="7">
        <v>7.8299999999999995E-2</v>
      </c>
      <c r="N152" s="29">
        <f t="shared" si="6"/>
        <v>0.39149999999999996</v>
      </c>
      <c r="O152" s="15"/>
    </row>
    <row r="153" spans="1:15" x14ac:dyDescent="0.25">
      <c r="A153" s="1"/>
      <c r="B153" s="9">
        <f>ROW(B153) - ROW($B$2)</f>
        <v>151</v>
      </c>
      <c r="C153" s="14" t="s">
        <v>8</v>
      </c>
      <c r="D153" s="6" t="s">
        <v>188</v>
      </c>
      <c r="E153" s="6" t="s">
        <v>343</v>
      </c>
      <c r="F153" s="6" t="s">
        <v>429</v>
      </c>
      <c r="G153" s="6" t="s">
        <v>429</v>
      </c>
      <c r="H153" s="6" t="s">
        <v>625</v>
      </c>
      <c r="I153" s="12" t="s">
        <v>781</v>
      </c>
      <c r="J153" s="6">
        <v>1</v>
      </c>
      <c r="K153" s="6">
        <f t="shared" si="5"/>
        <v>5</v>
      </c>
      <c r="L153" s="12" t="s">
        <v>700</v>
      </c>
      <c r="M153" s="7" t="s">
        <v>772</v>
      </c>
      <c r="N153" s="29">
        <f t="shared" si="6"/>
        <v>22.200000000000003</v>
      </c>
      <c r="O153" s="15"/>
    </row>
    <row r="154" spans="1:15" x14ac:dyDescent="0.25">
      <c r="A154" s="1"/>
      <c r="B154" s="10">
        <f t="shared" si="0"/>
        <v>152</v>
      </c>
      <c r="C154" s="14" t="s">
        <v>8</v>
      </c>
      <c r="D154" s="12" t="s">
        <v>189</v>
      </c>
      <c r="E154" s="12" t="s">
        <v>344</v>
      </c>
      <c r="F154" s="12" t="s">
        <v>430</v>
      </c>
      <c r="G154" s="12" t="s">
        <v>560</v>
      </c>
      <c r="H154" s="12" t="s">
        <v>615</v>
      </c>
      <c r="I154" s="12" t="s">
        <v>781</v>
      </c>
      <c r="J154" s="12">
        <v>1</v>
      </c>
      <c r="K154" s="6">
        <f t="shared" si="5"/>
        <v>5</v>
      </c>
      <c r="L154" s="12" t="s">
        <v>700</v>
      </c>
      <c r="M154" s="7" t="s">
        <v>773</v>
      </c>
      <c r="N154" s="29">
        <f t="shared" si="6"/>
        <v>4.55</v>
      </c>
      <c r="O154" s="15"/>
    </row>
    <row r="155" spans="1:15" x14ac:dyDescent="0.25">
      <c r="A155" s="1"/>
      <c r="B155" s="9">
        <f>ROW(B155) - ROW($B$2)</f>
        <v>153</v>
      </c>
      <c r="C155" s="13" t="s">
        <v>8</v>
      </c>
      <c r="D155" s="6" t="s">
        <v>190</v>
      </c>
      <c r="E155" s="6" t="s">
        <v>345</v>
      </c>
      <c r="F155" s="6" t="s">
        <v>431</v>
      </c>
      <c r="G155" s="6" t="s">
        <v>561</v>
      </c>
      <c r="H155" s="6" t="s">
        <v>626</v>
      </c>
      <c r="I155" s="12" t="s">
        <v>781</v>
      </c>
      <c r="J155" s="6">
        <v>2</v>
      </c>
      <c r="K155" s="6">
        <f t="shared" si="5"/>
        <v>10</v>
      </c>
      <c r="L155" s="12" t="s">
        <v>700</v>
      </c>
      <c r="M155" s="7">
        <v>1.0035000000000001</v>
      </c>
      <c r="N155" s="29">
        <f t="shared" si="6"/>
        <v>10.035</v>
      </c>
      <c r="O155" s="15"/>
    </row>
    <row r="156" spans="1:15" ht="36" x14ac:dyDescent="0.25">
      <c r="A156" s="1"/>
      <c r="B156" s="10">
        <f t="shared" si="0"/>
        <v>154</v>
      </c>
      <c r="C156" s="14" t="s">
        <v>8</v>
      </c>
      <c r="D156" s="12" t="s">
        <v>191</v>
      </c>
      <c r="E156" s="12" t="s">
        <v>346</v>
      </c>
      <c r="F156" s="12" t="s">
        <v>432</v>
      </c>
      <c r="G156" s="12" t="s">
        <v>562</v>
      </c>
      <c r="H156" s="12" t="s">
        <v>616</v>
      </c>
      <c r="I156" s="12" t="s">
        <v>781</v>
      </c>
      <c r="J156" s="12">
        <v>1</v>
      </c>
      <c r="K156" s="6">
        <f t="shared" si="5"/>
        <v>5</v>
      </c>
      <c r="L156" s="12" t="s">
        <v>783</v>
      </c>
      <c r="M156" s="7">
        <v>0.42180000000000001</v>
      </c>
      <c r="N156" s="29">
        <f t="shared" si="6"/>
        <v>2.109</v>
      </c>
      <c r="O156" s="15"/>
    </row>
    <row r="157" spans="1:15" x14ac:dyDescent="0.25">
      <c r="A157" s="1"/>
      <c r="B157" s="9">
        <f>ROW(B157) - ROW($B$2)</f>
        <v>155</v>
      </c>
      <c r="C157" s="13" t="s">
        <v>8</v>
      </c>
      <c r="D157" s="6" t="s">
        <v>192</v>
      </c>
      <c r="E157" s="6" t="s">
        <v>347</v>
      </c>
      <c r="F157" s="6" t="s">
        <v>433</v>
      </c>
      <c r="G157" s="6" t="s">
        <v>563</v>
      </c>
      <c r="H157" s="6" t="s">
        <v>627</v>
      </c>
      <c r="I157" s="12" t="s">
        <v>781</v>
      </c>
      <c r="J157" s="6">
        <v>1</v>
      </c>
      <c r="K157" s="6">
        <f t="shared" si="5"/>
        <v>5</v>
      </c>
      <c r="L157" s="12" t="s">
        <v>700</v>
      </c>
      <c r="M157" s="7" t="s">
        <v>774</v>
      </c>
      <c r="N157" s="29">
        <f t="shared" si="6"/>
        <v>14.450000000000001</v>
      </c>
      <c r="O157" s="15"/>
    </row>
    <row r="158" spans="1:15" ht="24" x14ac:dyDescent="0.25">
      <c r="A158" s="1"/>
      <c r="B158" s="10">
        <f t="shared" si="0"/>
        <v>156</v>
      </c>
      <c r="C158" s="14" t="s">
        <v>8</v>
      </c>
      <c r="D158" s="12" t="s">
        <v>193</v>
      </c>
      <c r="E158" s="12" t="s">
        <v>348</v>
      </c>
      <c r="F158" s="12" t="s">
        <v>434</v>
      </c>
      <c r="G158" s="12" t="s">
        <v>564</v>
      </c>
      <c r="H158" s="12" t="s">
        <v>628</v>
      </c>
      <c r="I158" s="12" t="s">
        <v>781</v>
      </c>
      <c r="J158" s="12">
        <v>1</v>
      </c>
      <c r="K158" s="6">
        <f t="shared" si="5"/>
        <v>5</v>
      </c>
      <c r="L158" s="12" t="s">
        <v>700</v>
      </c>
      <c r="M158" s="7" t="s">
        <v>775</v>
      </c>
      <c r="N158" s="29">
        <f t="shared" si="6"/>
        <v>6.75</v>
      </c>
      <c r="O158" s="15"/>
    </row>
    <row r="159" spans="1:15" x14ac:dyDescent="0.25">
      <c r="A159" s="1"/>
      <c r="B159" s="9">
        <f>ROW(B159) - ROW($B$2)</f>
        <v>157</v>
      </c>
      <c r="C159" s="13" t="s">
        <v>8</v>
      </c>
      <c r="D159" s="6" t="s">
        <v>194</v>
      </c>
      <c r="E159" s="6" t="s">
        <v>349</v>
      </c>
      <c r="F159" s="6" t="s">
        <v>435</v>
      </c>
      <c r="G159" s="6" t="s">
        <v>565</v>
      </c>
      <c r="H159" s="6" t="s">
        <v>615</v>
      </c>
      <c r="I159" s="12" t="s">
        <v>781</v>
      </c>
      <c r="J159" s="6">
        <v>1</v>
      </c>
      <c r="K159" s="6">
        <f t="shared" si="5"/>
        <v>5</v>
      </c>
      <c r="L159" s="12" t="s">
        <v>700</v>
      </c>
      <c r="M159" s="7" t="s">
        <v>776</v>
      </c>
      <c r="N159" s="29">
        <f t="shared" si="6"/>
        <v>10.649999999999999</v>
      </c>
      <c r="O159" s="15"/>
    </row>
    <row r="160" spans="1:15" x14ac:dyDescent="0.25">
      <c r="A160" s="1"/>
      <c r="B160" s="10">
        <f t="shared" si="0"/>
        <v>158</v>
      </c>
      <c r="C160" s="14" t="s">
        <v>8</v>
      </c>
      <c r="D160" s="12" t="s">
        <v>195</v>
      </c>
      <c r="E160" s="12" t="s">
        <v>350</v>
      </c>
      <c r="F160" s="12" t="s">
        <v>436</v>
      </c>
      <c r="G160" s="12" t="s">
        <v>436</v>
      </c>
      <c r="H160" s="12" t="s">
        <v>629</v>
      </c>
      <c r="I160" s="12" t="s">
        <v>781</v>
      </c>
      <c r="J160" s="12">
        <v>1</v>
      </c>
      <c r="K160" s="6">
        <f t="shared" si="5"/>
        <v>5</v>
      </c>
      <c r="L160" s="12" t="s">
        <v>700</v>
      </c>
      <c r="M160" s="7" t="s">
        <v>777</v>
      </c>
      <c r="N160" s="29">
        <f t="shared" si="6"/>
        <v>0.78424999999999989</v>
      </c>
      <c r="O160" s="15"/>
    </row>
    <row r="161" spans="1:15" x14ac:dyDescent="0.25">
      <c r="A161" s="1"/>
      <c r="B161" s="9">
        <f>ROW(B161) - ROW($B$2)</f>
        <v>159</v>
      </c>
      <c r="C161" s="13" t="s">
        <v>8</v>
      </c>
      <c r="D161" s="6" t="s">
        <v>196</v>
      </c>
      <c r="E161" s="6" t="s">
        <v>351</v>
      </c>
      <c r="F161" s="6" t="s">
        <v>437</v>
      </c>
      <c r="G161" s="6" t="s">
        <v>566</v>
      </c>
      <c r="H161" s="6" t="s">
        <v>630</v>
      </c>
      <c r="I161" s="12" t="s">
        <v>781</v>
      </c>
      <c r="J161" s="6">
        <v>1</v>
      </c>
      <c r="K161" s="6">
        <f t="shared" si="5"/>
        <v>5</v>
      </c>
      <c r="L161" s="12" t="s">
        <v>700</v>
      </c>
      <c r="M161" s="7" t="s">
        <v>778</v>
      </c>
      <c r="N161" s="29">
        <f t="shared" si="6"/>
        <v>1.7999999999999998</v>
      </c>
      <c r="O161" s="15"/>
    </row>
    <row r="162" spans="1:15" ht="36" x14ac:dyDescent="0.25">
      <c r="A162" s="1"/>
      <c r="B162" s="10">
        <f t="shared" si="0"/>
        <v>160</v>
      </c>
      <c r="C162" s="13" t="s">
        <v>36</v>
      </c>
      <c r="D162" s="12" t="s">
        <v>197</v>
      </c>
      <c r="E162" s="12" t="s">
        <v>352</v>
      </c>
      <c r="F162" s="12" t="s">
        <v>438</v>
      </c>
      <c r="G162" s="12" t="s">
        <v>567</v>
      </c>
      <c r="H162" s="12" t="s">
        <v>631</v>
      </c>
      <c r="I162" s="12" t="s">
        <v>689</v>
      </c>
      <c r="J162" s="12">
        <v>1</v>
      </c>
      <c r="K162" s="6">
        <f t="shared" si="5"/>
        <v>5</v>
      </c>
      <c r="L162" s="12" t="s">
        <v>700</v>
      </c>
      <c r="M162" s="7" t="s">
        <v>779</v>
      </c>
      <c r="N162" s="29">
        <f t="shared" si="6"/>
        <v>1.4392499999999999</v>
      </c>
      <c r="O162" s="15"/>
    </row>
    <row r="163" spans="1:15" ht="15.75" thickBot="1" x14ac:dyDescent="0.3">
      <c r="A163" s="1"/>
      <c r="B163" s="24">
        <f>ROW(B163) - ROW($B$2)</f>
        <v>161</v>
      </c>
      <c r="C163" s="25" t="s">
        <v>36</v>
      </c>
      <c r="D163" s="26" t="s">
        <v>198</v>
      </c>
      <c r="E163" s="26" t="s">
        <v>353</v>
      </c>
      <c r="F163" s="26" t="s">
        <v>439</v>
      </c>
      <c r="G163" s="26" t="s">
        <v>439</v>
      </c>
      <c r="H163" s="26" t="s">
        <v>632</v>
      </c>
      <c r="I163" s="26" t="s">
        <v>690</v>
      </c>
      <c r="J163" s="26">
        <v>2</v>
      </c>
      <c r="K163" s="26">
        <f t="shared" si="5"/>
        <v>10</v>
      </c>
      <c r="L163" s="8" t="s">
        <v>700</v>
      </c>
      <c r="M163" s="27" t="s">
        <v>780</v>
      </c>
      <c r="N163" s="29">
        <f t="shared" si="6"/>
        <v>8.06</v>
      </c>
      <c r="O163" s="8"/>
    </row>
    <row r="164" spans="1:15" ht="15.75" thickBot="1" x14ac:dyDescent="0.3">
      <c r="M164" s="22" t="s">
        <v>786</v>
      </c>
      <c r="N164" s="23">
        <f>SUM(N3:N163)</f>
        <v>783.44154999999989</v>
      </c>
    </row>
    <row r="165" spans="1:15" ht="25.5" x14ac:dyDescent="0.25">
      <c r="M165" s="21" t="s">
        <v>787</v>
      </c>
      <c r="N165" s="28">
        <f>N164/5</f>
        <v>156.68830999999997</v>
      </c>
    </row>
  </sheetData>
  <mergeCells count="1">
    <mergeCell ref="I1:O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2024-04-02T13:04:01Z</dcterms:modified>
</cp:coreProperties>
</file>