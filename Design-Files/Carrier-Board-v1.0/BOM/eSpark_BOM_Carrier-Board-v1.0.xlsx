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73" i="1" l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Q38" i="1"/>
  <c r="B38" i="1"/>
  <c r="Q171" i="1" l="1"/>
  <c r="Q165" i="1" l="1"/>
  <c r="Q166" i="1"/>
  <c r="Q167" i="1"/>
  <c r="Q168" i="1"/>
  <c r="Q169" i="1"/>
  <c r="Q170" i="1"/>
  <c r="Q172" i="1"/>
  <c r="B171" i="1" l="1"/>
  <c r="B172" i="1"/>
  <c r="B167" i="1"/>
  <c r="B168" i="1"/>
  <c r="B169" i="1"/>
  <c r="B170" i="1"/>
  <c r="M8" i="1" l="1"/>
  <c r="Q164" i="1" l="1"/>
  <c r="B166" i="1"/>
  <c r="Q163" i="1"/>
  <c r="B165" i="1"/>
  <c r="Q162" i="1"/>
  <c r="B164" i="1"/>
  <c r="Q161" i="1"/>
  <c r="B163" i="1"/>
  <c r="Q160" i="1"/>
  <c r="B162" i="1"/>
  <c r="Q159" i="1"/>
  <c r="B161" i="1"/>
  <c r="Q158" i="1"/>
  <c r="B160" i="1"/>
  <c r="Q157" i="1"/>
  <c r="B159" i="1"/>
  <c r="Q156" i="1"/>
  <c r="B158" i="1"/>
  <c r="Q155" i="1"/>
  <c r="B157" i="1"/>
  <c r="Q154" i="1"/>
  <c r="B156" i="1"/>
  <c r="Q153" i="1"/>
  <c r="B155" i="1"/>
  <c r="Q152" i="1"/>
  <c r="B154" i="1"/>
  <c r="Q151" i="1"/>
  <c r="B153" i="1"/>
  <c r="Q150" i="1"/>
  <c r="B152" i="1"/>
  <c r="Q149" i="1"/>
  <c r="B151" i="1"/>
  <c r="Q148" i="1"/>
  <c r="B150" i="1"/>
  <c r="Q147" i="1"/>
  <c r="B149" i="1"/>
  <c r="Q146" i="1"/>
  <c r="B148" i="1"/>
  <c r="Q145" i="1"/>
  <c r="B147" i="1"/>
  <c r="Q144" i="1"/>
  <c r="B146" i="1"/>
  <c r="Q143" i="1"/>
  <c r="B145" i="1"/>
  <c r="Q142" i="1"/>
  <c r="B144" i="1"/>
  <c r="Q141" i="1"/>
  <c r="B143" i="1"/>
  <c r="Q140" i="1"/>
  <c r="B142" i="1"/>
  <c r="Q139" i="1"/>
  <c r="B141" i="1"/>
  <c r="Q138" i="1"/>
  <c r="B140" i="1"/>
  <c r="Q137" i="1"/>
  <c r="B139" i="1"/>
  <c r="Q136" i="1"/>
  <c r="B138" i="1"/>
  <c r="Q135" i="1"/>
  <c r="B137" i="1"/>
  <c r="Q134" i="1"/>
  <c r="B136" i="1"/>
  <c r="Q133" i="1"/>
  <c r="B135" i="1"/>
  <c r="Q132" i="1"/>
  <c r="B134" i="1"/>
  <c r="Q131" i="1"/>
  <c r="B133" i="1"/>
  <c r="Q130" i="1"/>
  <c r="B132" i="1"/>
  <c r="Q129" i="1"/>
  <c r="B131" i="1"/>
  <c r="Q128" i="1"/>
  <c r="B130" i="1"/>
  <c r="Q127" i="1"/>
  <c r="B129" i="1"/>
  <c r="B128" i="1"/>
  <c r="Q125" i="1"/>
  <c r="B127" i="1"/>
  <c r="Q124" i="1"/>
  <c r="B126" i="1"/>
  <c r="Q123" i="1"/>
  <c r="B125" i="1"/>
  <c r="Q122" i="1"/>
  <c r="B124" i="1"/>
  <c r="Q121" i="1"/>
  <c r="B123" i="1"/>
  <c r="Q120" i="1"/>
  <c r="B122" i="1"/>
  <c r="Q119" i="1"/>
  <c r="B121" i="1"/>
  <c r="Q118" i="1"/>
  <c r="B120" i="1"/>
  <c r="Q117" i="1"/>
  <c r="B119" i="1"/>
  <c r="Q116" i="1"/>
  <c r="B118" i="1"/>
  <c r="B117" i="1"/>
  <c r="Q114" i="1"/>
  <c r="B116" i="1"/>
  <c r="Q113" i="1"/>
  <c r="B115" i="1"/>
  <c r="B114" i="1"/>
  <c r="Q111" i="1"/>
  <c r="B113" i="1"/>
  <c r="Q110" i="1"/>
  <c r="B112" i="1"/>
  <c r="Q109" i="1"/>
  <c r="B111" i="1"/>
  <c r="Q108" i="1"/>
  <c r="B110" i="1"/>
  <c r="Q107" i="1"/>
  <c r="B109" i="1"/>
  <c r="Q106" i="1"/>
  <c r="B108" i="1"/>
  <c r="Q105" i="1"/>
  <c r="B107" i="1"/>
  <c r="Q104" i="1"/>
  <c r="B106" i="1"/>
  <c r="Q103" i="1"/>
  <c r="B105" i="1"/>
  <c r="Q102" i="1"/>
  <c r="B104" i="1"/>
  <c r="Q99" i="1"/>
  <c r="B103" i="1"/>
  <c r="B102" i="1"/>
  <c r="B101" i="1"/>
  <c r="Q98" i="1"/>
  <c r="B100" i="1"/>
  <c r="Q97" i="1"/>
  <c r="B98" i="1"/>
  <c r="Q96" i="1"/>
  <c r="B97" i="1"/>
  <c r="Q95" i="1"/>
  <c r="B96" i="1"/>
  <c r="Q94" i="1"/>
  <c r="B95" i="1"/>
  <c r="Q93" i="1"/>
  <c r="B94" i="1"/>
  <c r="Q92" i="1"/>
  <c r="B93" i="1"/>
  <c r="Q91" i="1"/>
  <c r="B92" i="1"/>
  <c r="Q89" i="1"/>
  <c r="B90" i="1"/>
  <c r="Q90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B9" i="1"/>
  <c r="B8" i="1"/>
  <c r="Q174" i="1" l="1"/>
</calcChain>
</file>

<file path=xl/sharedStrings.xml><?xml version="1.0" encoding="utf-8"?>
<sst xmlns="http://schemas.openxmlformats.org/spreadsheetml/2006/main" count="1681" uniqueCount="883">
  <si>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</si>
  <si>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</si>
  <si>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</si>
  <si>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</si>
  <si>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</si>
  <si>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</si>
  <si>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</si>
  <si>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</si>
  <si>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(TVS/ESD)</t>
  </si>
  <si>
    <t>Fuse</t>
  </si>
  <si>
    <t>Ferrite Bead</t>
  </si>
  <si>
    <t>MicroSD card</t>
  </si>
  <si>
    <t>Card Edge Connectors</t>
  </si>
  <si>
    <t>HDMI Connector</t>
  </si>
  <si>
    <t>Wire To Board Connector</t>
  </si>
  <si>
    <t>Type-A USB Connector</t>
  </si>
  <si>
    <t>Type-A Connector</t>
  </si>
  <si>
    <t>DC JACK</t>
  </si>
  <si>
    <t>SIM Card Connectors</t>
  </si>
  <si>
    <t>Terminal Block</t>
  </si>
  <si>
    <t>Male Header</t>
  </si>
  <si>
    <t>UFL Connector</t>
  </si>
  <si>
    <t>USB Connector</t>
  </si>
  <si>
    <t>Ethernet Connector</t>
  </si>
  <si>
    <t>JST Connector</t>
  </si>
  <si>
    <t>Audio Connector</t>
  </si>
  <si>
    <t>FFC / FPC Connector</t>
  </si>
  <si>
    <t>Relay</t>
  </si>
  <si>
    <t>Inductor</t>
  </si>
  <si>
    <t>LED</t>
  </si>
  <si>
    <t>RGB  LED</t>
  </si>
  <si>
    <t>Mosfet</t>
  </si>
  <si>
    <t>Transistor</t>
  </si>
  <si>
    <t>MOSFET</t>
  </si>
  <si>
    <t>Resistor</t>
  </si>
  <si>
    <t>Resistor Array</t>
  </si>
  <si>
    <t>IC</t>
  </si>
  <si>
    <t>Module</t>
  </si>
  <si>
    <t>ESD Diode</t>
  </si>
  <si>
    <t>Temperature &amp; Humidity Sensor</t>
  </si>
  <si>
    <t>Crystal</t>
  </si>
  <si>
    <t>Designator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</si>
  <si>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</si>
  <si>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C2, C165</t>
  </si>
  <si>
    <t>C5, C10, C24, C31, C125, C142, C203</t>
  </si>
  <si>
    <t>C19, C25, C28, C32</t>
  </si>
  <si>
    <t>C20, C26, C29, C33</t>
  </si>
  <si>
    <t>C35, C36, C38</t>
  </si>
  <si>
    <t>C37, C68, C80, C166</t>
  </si>
  <si>
    <t>C39, C40, C42, C43, C46, C50, C52, C53, C57, C124, C130, C177, C179</t>
  </si>
  <si>
    <t>C41, C51, C176, C178</t>
  </si>
  <si>
    <t>C44, C45, C54, C56</t>
  </si>
  <si>
    <t>C47, C59</t>
  </si>
  <si>
    <t>C48, C60</t>
  </si>
  <si>
    <t>C49, C61</t>
  </si>
  <si>
    <t>C58, C77</t>
  </si>
  <si>
    <t>C62</t>
  </si>
  <si>
    <t>C63</t>
  </si>
  <si>
    <t>C64</t>
  </si>
  <si>
    <t>C69, C174</t>
  </si>
  <si>
    <t>C73, C74</t>
  </si>
  <si>
    <t>C79</t>
  </si>
  <si>
    <t>C86, C87, C90, C99, C102, C105, C108, C112, C156, C157</t>
  </si>
  <si>
    <t>C116</t>
  </si>
  <si>
    <t>C117, C121, C123, C132, C140, C146, C150</t>
  </si>
  <si>
    <t>C159, C160, C161, C162, C163, C164, C198</t>
  </si>
  <si>
    <t>C170, C171</t>
  </si>
  <si>
    <t>C172, C173</t>
  </si>
  <si>
    <t>C175</t>
  </si>
  <si>
    <t>C195, C196</t>
  </si>
  <si>
    <t>C197</t>
  </si>
  <si>
    <t>D5, D6</t>
  </si>
  <si>
    <t>D15</t>
  </si>
  <si>
    <t>D16, D58, D59, D60, D62, D63</t>
  </si>
  <si>
    <t>D17</t>
  </si>
  <si>
    <t>D18, D26, D27, D28, D29, D30, D31, D32, D33, D34, D35, D36, D37, D38, D39, D40, D41, D42, D43, D44, D45</t>
  </si>
  <si>
    <t>D19</t>
  </si>
  <si>
    <t>D20, D21</t>
  </si>
  <si>
    <t>D46, D47</t>
  </si>
  <si>
    <t>F1</t>
  </si>
  <si>
    <t>F2</t>
  </si>
  <si>
    <t>FB1</t>
  </si>
  <si>
    <t>FB2</t>
  </si>
  <si>
    <t>FB3, FB4</t>
  </si>
  <si>
    <t>J1</t>
  </si>
  <si>
    <t>J1 Part-</t>
  </si>
  <si>
    <t>J2</t>
  </si>
  <si>
    <t>J3</t>
  </si>
  <si>
    <t>J4</t>
  </si>
  <si>
    <t>J5</t>
  </si>
  <si>
    <t>J6</t>
  </si>
  <si>
    <t>J7</t>
  </si>
  <si>
    <t>J8</t>
  </si>
  <si>
    <t>J10, J11</t>
  </si>
  <si>
    <t>J12, J13, J14, J15, J16</t>
  </si>
  <si>
    <t>J17</t>
  </si>
  <si>
    <t>J18</t>
  </si>
  <si>
    <t>J19</t>
  </si>
  <si>
    <t>J20</t>
  </si>
  <si>
    <t>J21, J24</t>
  </si>
  <si>
    <t>J22</t>
  </si>
  <si>
    <t>J23</t>
  </si>
  <si>
    <t>J25</t>
  </si>
  <si>
    <t>J26</t>
  </si>
  <si>
    <t>J27, J28</t>
  </si>
  <si>
    <t>J29</t>
  </si>
  <si>
    <t>K1, K2, K3, K4, K5</t>
  </si>
  <si>
    <t>L1, L2, L3, L4</t>
  </si>
  <si>
    <t>L5</t>
  </si>
  <si>
    <t>L6, L9</t>
  </si>
  <si>
    <t>L7, L8</t>
  </si>
  <si>
    <t>LED1</t>
  </si>
  <si>
    <t>LED2, LED6</t>
  </si>
  <si>
    <t>LED3</t>
  </si>
  <si>
    <t>LED4</t>
  </si>
  <si>
    <t>LED5</t>
  </si>
  <si>
    <t>LED7</t>
  </si>
  <si>
    <t>LED8, LED9, LED10, LED11, LED12, LED13</t>
  </si>
  <si>
    <t>Q1</t>
  </si>
  <si>
    <t>Q2, Q3, Q4, Q5</t>
  </si>
  <si>
    <t>Q7, Q8, Q9, Q10, Q11</t>
  </si>
  <si>
    <t>Q15</t>
  </si>
  <si>
    <t>Q16</t>
  </si>
  <si>
    <t>Q17</t>
  </si>
  <si>
    <t>R1, R2, R4, R5, R25, R26, R30, R33, R37, R46, R50, R72, R75, R76, R77, R78, R79, R82, R83, R92, R108, R111, R112, R130, R152, R194, R199, R203, R208, R209, R225, R228, R229, R230, R234, R252, R253, R254, R258, R266</t>
  </si>
  <si>
    <t>R3, R57, R63, R64, R69, R193</t>
  </si>
  <si>
    <t>R6, R7, R34, R41, R47, R115, R264</t>
  </si>
  <si>
    <t>R10, R73, R74, R80, R81, R237, R265</t>
  </si>
  <si>
    <t>R12, R13</t>
  </si>
  <si>
    <t>R18</t>
  </si>
  <si>
    <t>R23, R24, R28, R29, R52, R53, R54, R60, R65, R68, R84, R85, R86, R87, R88, R89, R90, R116, R129, R142, R173, R174, R177, R178, R191, R247, R255</t>
  </si>
  <si>
    <t>R27, R222, R223, R224</t>
  </si>
  <si>
    <t>R31, R36, R45, R49</t>
  </si>
  <si>
    <t>R32, R40, R42, R44</t>
  </si>
  <si>
    <t>R35</t>
  </si>
  <si>
    <t>R38, R39, R104, R105, R197</t>
  </si>
  <si>
    <t>R43</t>
  </si>
  <si>
    <t>R51</t>
  </si>
  <si>
    <t>R55</t>
  </si>
  <si>
    <t>R56</t>
  </si>
  <si>
    <t>R59, R67</t>
  </si>
  <si>
    <t>R61, R205</t>
  </si>
  <si>
    <t>R62, R233</t>
  </si>
  <si>
    <t>R70, R71</t>
  </si>
  <si>
    <t>R94, R95, R157, R162</t>
  </si>
  <si>
    <t>R96, R153</t>
  </si>
  <si>
    <t>R102, R103, R117, R118, R189, R190, R206, R207</t>
  </si>
  <si>
    <t>R106, R107, R127, R150, R188, R195, R227, R232</t>
  </si>
  <si>
    <t>R109, R113</t>
  </si>
  <si>
    <t>R110, R114</t>
  </si>
  <si>
    <t>R128, R151</t>
  </si>
  <si>
    <t>R131, R141</t>
  </si>
  <si>
    <t>R175, R231</t>
  </si>
  <si>
    <t>R196</t>
  </si>
  <si>
    <t>R201, R202</t>
  </si>
  <si>
    <t>R204</t>
  </si>
  <si>
    <t>R226</t>
  </si>
  <si>
    <t>R235</t>
  </si>
  <si>
    <t>R236</t>
  </si>
  <si>
    <t>R256, R257</t>
  </si>
  <si>
    <t>R263</t>
  </si>
  <si>
    <t>RN4, RN5</t>
  </si>
  <si>
    <t>SW1, SW2, SW3, SW4, SW5, SW6</t>
  </si>
  <si>
    <t>U1</t>
  </si>
  <si>
    <t>U2</t>
  </si>
  <si>
    <t>U3, U4</t>
  </si>
  <si>
    <t>U5</t>
  </si>
  <si>
    <t>U6, U7, U8, U9</t>
  </si>
  <si>
    <t>U10</t>
  </si>
  <si>
    <t>U11</t>
  </si>
  <si>
    <t>U12</t>
  </si>
  <si>
    <t>U13</t>
  </si>
  <si>
    <t>U14</t>
  </si>
  <si>
    <t>U15</t>
  </si>
  <si>
    <t>U16, U17</t>
  </si>
  <si>
    <t>U18</t>
  </si>
  <si>
    <t>U19</t>
  </si>
  <si>
    <t>U20</t>
  </si>
  <si>
    <t>U21</t>
  </si>
  <si>
    <t>U22</t>
  </si>
  <si>
    <t>U23, U25</t>
  </si>
  <si>
    <t>U24</t>
  </si>
  <si>
    <t>U26</t>
  </si>
  <si>
    <t>U27</t>
  </si>
  <si>
    <t>U28</t>
  </si>
  <si>
    <t>U29</t>
  </si>
  <si>
    <t>U30</t>
  </si>
  <si>
    <t>U31</t>
  </si>
  <si>
    <t>U33</t>
  </si>
  <si>
    <t>X1</t>
  </si>
  <si>
    <t>X2, X3</t>
  </si>
  <si>
    <t>Description</t>
  </si>
  <si>
    <t>CAP CER 0.1UF 16V X5R 0402</t>
  </si>
  <si>
    <t>CAP CER 100PF 50V C0G/NPO 0402</t>
  </si>
  <si>
    <t>CAP CER 1000PF 2KV X7R 1206</t>
  </si>
  <si>
    <t>CAP CER 1UF 16V X5R 0402</t>
  </si>
  <si>
    <t>CAP CER 10UF 16V X5R 0603</t>
  </si>
  <si>
    <t>CAP CER 4.7UF 50V X5R 0805</t>
  </si>
  <si>
    <t>CAP CER 1UF 25V X5R 0402</t>
  </si>
  <si>
    <t>CAP CER 0.1UF 50V X7R 0402</t>
  </si>
  <si>
    <t>CAP CER 10UF 50V X5R 0805</t>
  </si>
  <si>
    <t>CAP CER 47UF 25V X5R 1206</t>
  </si>
  <si>
    <t>CAP CER 2.2UF 25V X5R 0402</t>
  </si>
  <si>
    <t>CAP CER 1000PF 25V X7R 0402</t>
  </si>
  <si>
    <t>CAP CER 3.9PF 50V C0G/NPO 0402</t>
  </si>
  <si>
    <t>CAP CER 10PF 50V C0G/NP0 0402</t>
  </si>
  <si>
    <t>CAP TANT 470UF 10% 10V 2917</t>
  </si>
  <si>
    <t>CAP CER 0.1UF 50V X5R 0603</t>
  </si>
  <si>
    <t>CAP CER 33PF 25V C0G/NP0 0402</t>
  </si>
  <si>
    <t>CAP TANT 100UF 20% 10V 1411</t>
  </si>
  <si>
    <t>CAP CER 0.22UF 25V X5R 0402</t>
  </si>
  <si>
    <t>CAP CER 10UF 10V X5R 0402</t>
  </si>
  <si>
    <t>CAP CER 10UF 25V X5R 0603</t>
  </si>
  <si>
    <t>100uF 50V ±20% SMD,D6.3xL7.7mm Aluminum Electrolytic Capacitors - SMD ROHS</t>
  </si>
  <si>
    <t>CAP CER 4.7UF 10V X5R 0402</t>
  </si>
  <si>
    <t>CAP CER 12PF 50V C0G/NP0 0402</t>
  </si>
  <si>
    <t>CAP CER 27PF 25V C0G/NP0 0402</t>
  </si>
  <si>
    <t>CAP CER 0.015UF 50V X7R 0402</t>
  </si>
  <si>
    <t>CAP CER 0.1UF 100V X7R 0603</t>
  </si>
  <si>
    <t>CAP CER 1000PF 25V C0G/NPO 0603</t>
  </si>
  <si>
    <t>CAP CER 1UF 25V X5R 0603</t>
  </si>
  <si>
    <t>DFN1006-2(0402) ESD Protection Devices ROHS</t>
  </si>
  <si>
    <t>DFN2510-10L ESD Protection Devices ROHS</t>
  </si>
  <si>
    <t>TVS DIODE 33VWM 53.3VC SMB</t>
  </si>
  <si>
    <t>DIODE ZENER ARRAY 3.3V SOT363</t>
  </si>
  <si>
    <t>DIODE ZENER 5.1V 500MW SOD123</t>
  </si>
  <si>
    <t>DFN1006-2 ESD Protection Devices ROHS</t>
  </si>
  <si>
    <t>16A 20V 7V 5V@Max Unidirectional SOT-23 TVS ROHS</t>
  </si>
  <si>
    <t>35A@8/20us 15V 4.5V@Max DFN1006-2L Electrostatic and Surge Protection (TVS/ESD) ROHS</t>
  </si>
  <si>
    <t>TVS DIODE 5.5VWM SOT23</t>
  </si>
  <si>
    <t>FUSE BRD MNT 5A 32VAC 75VDC 1206</t>
  </si>
  <si>
    <t>6V 500mA 40A 1A 0603 Resettable Fuses ROHS</t>
  </si>
  <si>
    <t>FERRITE BEAD 30 OHM 0805 1LN</t>
  </si>
  <si>
    <t>0603 180Ω ±25% DCR=0.09Ω 1.5A</t>
  </si>
  <si>
    <t>FERRITE BEAD 1K OHM 1206 1LN</t>
  </si>
  <si>
    <t>2mm Deck MicroSD card (TF card) Self bomb SMD SD Card / Memory Card Connector ROHS</t>
  </si>
  <si>
    <t>SMD,P=0.5mm,Surface Mount，Right Angle</t>
  </si>
  <si>
    <t>CONN RCPT 1.4 HDMI 19POS SMD R/A</t>
  </si>
  <si>
    <t>1x3P 3P XH 1 Tin 2.5mm 3 -25℃~+85℃ Brass 3A Straight Plugin,P=2.5mm Wire To Board Connector ROHS</t>
  </si>
  <si>
    <t>USB 2.0 1.5A 2 235℃ Right-Angle 4P+4P Female -40℃~+85℃ Gold Brass Type-A Plugin USB Connectors ROHS</t>
  </si>
  <si>
    <t>USB 3.0 2 Right-Angle 9P+9P Female Type-A Plugin USB Connectors ROHS</t>
  </si>
  <si>
    <t>Shrouded DC Power Receptacle -20℃~+70℃ 2.5mm 6.5mm 10A 16V Plugin AC/DC Power Connectors ROHS</t>
  </si>
  <si>
    <t>Copper Alloy Self bomb Gold plating 1.25mm Deck -40℃~+85℃ 260℃ NanoSIM SMD SIM Card Connectors ROHS</t>
  </si>
  <si>
    <t>250V 10A 3 Bend -40℃~+105℃ 1 3.5mm 1x3P Green Board Edge/Receptacle-Close Push-Pull,P=3.5mm Pluggable System Terminal Block ROHS</t>
  </si>
  <si>
    <t>250V 3A Brick nogging Square Pins 2.5mm 260℃@5S 6mm 20P -40℃~+105℃ 2.54mm 双排 Black 2.54mm 2x10P SMD,P=2.54mm Pin Headers ROHS</t>
  </si>
  <si>
    <t>CONN U.FL RCPT STR 50 OHM SMD</t>
  </si>
  <si>
    <t>CONN RCPT USB2.0 MICRO B SMD R/A</t>
  </si>
  <si>
    <t>1x4P 4P XH 1 Tin 2.5mm 4 -25℃~+85℃ Brass 3A Straight Plugin,P=2.5mm Wire To Board Connector ROHS</t>
  </si>
  <si>
    <t>RJ45 RJReceptacle 1 Internal oscillator included Shrouded WithLED Plugin Ethernet Connectors/Modular Connectors (RJ45 RJ11) ROHS</t>
  </si>
  <si>
    <t>1x2P XH 1 2.54mm 2.54mm Male pin 2 -25℃~+85℃ 3A Straight Straight,P=2.5mm Wire To Board / Wire To Wire Connector ROHS</t>
  </si>
  <si>
    <t>3.5mm headphone jack 1A SMD Audio Connectors ROHS</t>
  </si>
  <si>
    <t>CONN FFC BOTTOM 30POS 0.5MM R/A</t>
  </si>
  <si>
    <t>1x2P 2P XH 1 Tin 2.5mm 2 -25℃~+85℃ Brass 3A Straight Plugin,P=2.5mm Wire To Board Connector ROHS</t>
  </si>
  <si>
    <t>1 Brick nogging 14P Female Type-C SMD USB Connectors ROHS</t>
  </si>
  <si>
    <t>RELAY TELECOM DPDT 1A 5V</t>
  </si>
  <si>
    <t>Fixed Ind 4.720%UH 0.06 Ohm 3200M</t>
  </si>
  <si>
    <t>FIXED IND 2.2UH 1.5A 160MOHM SMD</t>
  </si>
  <si>
    <t>1uH ±20% 23A SMD,6.6x6.4mm Power Inductors ROHS</t>
  </si>
  <si>
    <t>Emerald 0603 Light Emitting Diodes (LED) ROHS</t>
  </si>
  <si>
    <t>RED LED 0603 Light Emitting Diodes</t>
  </si>
  <si>
    <t>yellow 0603 Light Emitting Diodes (LED) ROHS</t>
  </si>
  <si>
    <t>LED YELLOW CLEAR CHIP SMD</t>
  </si>
  <si>
    <t>LED RED CLEAR CHIP SMD</t>
  </si>
  <si>
    <t>LED BLUE CLEAR 2SMD</t>
  </si>
  <si>
    <t>12mA RGB SMD3535 Light Emitting Diodes (LED) ROHS</t>
  </si>
  <si>
    <t>Mosfet 2 N-Channel 20V 485mA 250mW Surface Mount SC-89 (SOT-563F)</t>
  </si>
  <si>
    <t>SOT-23 MOSFETs ROHS</t>
  </si>
  <si>
    <t>Trans Gp Bjt NPN 25V 1.5A 300MW 3-PIN SOT-23 T/r</t>
  </si>
  <si>
    <t>30V 100mA 200mW 8Ω@4V,10mA N Channel SOT-23 MOSFETs ROHS</t>
  </si>
  <si>
    <t>MOSFET P-CH 30V 4.3A SOT23-3</t>
  </si>
  <si>
    <t>TRANS NPN 40V 0.2A SOT523</t>
  </si>
  <si>
    <t>40V 100mW 100@10mA,1V 200mA 300MHz 300mV@50mA,5mA NPN -55℃~+150℃@(Tj) SOT-723 Bipolar Transistors - BJT ROHS</t>
  </si>
  <si>
    <t>RES 10K OHM 1% 1/16W 0402</t>
  </si>
  <si>
    <t>RES 100K OHM 1% 1/16W 0402</t>
  </si>
  <si>
    <t>RES SMD 1M OHM 5% 1/16W 0402</t>
  </si>
  <si>
    <t>RES 4.7K OHM 1% 1/16W 0402</t>
  </si>
  <si>
    <t>RES 1K OHM 1% 1/16W 0402</t>
  </si>
  <si>
    <t>RES 100 OHM 1% 1/16W 0402</t>
  </si>
  <si>
    <t>RES 22 OHM 1% 1/16W 0402</t>
  </si>
  <si>
    <t>RES SMD 120 OHM 0.1% 1/10W 0603</t>
  </si>
  <si>
    <t>RES 0 OHM JUMPER 1/16W 0402</t>
  </si>
  <si>
    <t>RES ARRAY 4 RES 10K OHM 1206</t>
  </si>
  <si>
    <t>RES 6.8K OHM 1% 1/16W 0402</t>
  </si>
  <si>
    <t>RES SMD 510 OHM 1% 1/16W 0402</t>
  </si>
  <si>
    <t>RES 22.1K OHM 1% 1/10W 0603</t>
  </si>
  <si>
    <t>RES 5.1K OHM 1% 1/16W 0402</t>
  </si>
  <si>
    <t>RES 47.5K OHM 1% 1/10W 0603</t>
  </si>
  <si>
    <t>RES 2.7K OHM 1% 1/10W 0603</t>
  </si>
  <si>
    <t>RES  SMD 330R 100 mW 0603</t>
  </si>
  <si>
    <t>RES 12K OHM 1% 1/16W 0402</t>
  </si>
  <si>
    <t>RES 39K OHM 1% 1/16W 0402</t>
  </si>
  <si>
    <t>RES SMD 1K OHM 1% 1/10W 0603</t>
  </si>
  <si>
    <t>RES 180 OHM 1% 1/10W 0603</t>
  </si>
  <si>
    <t>RES 0 OHM JUMPER 1/10W 0603</t>
  </si>
  <si>
    <t>RES SMD 1.8K OHM 1% 1/5W 0402</t>
  </si>
  <si>
    <t>RES SMD 2.2K OHM 1% 1/16W 0402</t>
  </si>
  <si>
    <t>RES 15K OHM 1% 1/16W 0402</t>
  </si>
  <si>
    <t>RES 20K OHM 1% 1/16W 0402</t>
  </si>
  <si>
    <t>RES 120 OHM 1% 1/16W 0402</t>
  </si>
  <si>
    <t>RES 2.49K OHM 1% 1/16W 0402</t>
  </si>
  <si>
    <t>RES 3K OHM 1% 1/16W 0402</t>
  </si>
  <si>
    <t>RES 470 OHM 1% 1/10W 0603</t>
  </si>
  <si>
    <t>RES 47K OHM 1% 1/16W 0402</t>
  </si>
  <si>
    <t>RES 1.5K OHM 1% 1/16W 0402</t>
  </si>
  <si>
    <t>RES 51K OHM 1% 1/16W 0402</t>
  </si>
  <si>
    <t>RES 499 OHM 1% 1/16W 0402</t>
  </si>
  <si>
    <t>RES SMD 22.1KOHM 0.1% 1/16W 0402</t>
  </si>
  <si>
    <t>RES SMD 15K OHM 0.1% 1/16W 0402</t>
  </si>
  <si>
    <t>RES ARRAY 4 RES 22 OHM 1206</t>
  </si>
  <si>
    <t>3mm 2mm Round Button 50mA Top3.65mm SPST 12V SMD Tactile Switches</t>
  </si>
  <si>
    <t>TVS DIODE 5.5VWM 11VC U-DFN2510</t>
  </si>
  <si>
    <t>IC INTERFACE SPECIALIZED 24TSSOP</t>
  </si>
  <si>
    <t>SOT-23-5 Power Distribution Switches ROHS</t>
  </si>
  <si>
    <t>MOSFET N-CH 40V 60A PPAK SO-8</t>
  </si>
  <si>
    <t>OR Controller N+1 ORing Controller N-Channel 1:1 SOT-23-6</t>
  </si>
  <si>
    <t>IC REG BUCK 3.3V 6A 17FC2QFN</t>
  </si>
  <si>
    <t>IC REG BUCK 5V 8A 17FC2QFN</t>
  </si>
  <si>
    <t>LGA-85_19.6x19.6x1.10P RF Modules ROHS</t>
  </si>
  <si>
    <t>IC TRNSLTR BIDIRECTIONAL US8</t>
  </si>
  <si>
    <t>15V 5 Unidirectional 5V SOT-363 ESD Protection Devices ROHS</t>
  </si>
  <si>
    <t>802.11ac/a/b/g/n WiFi Combo Sip Module (WiFi 5), 1T1R</t>
  </si>
  <si>
    <t>DFN-6-EP(2x2) Temperature and Humidity Sensor ROHS</t>
  </si>
  <si>
    <t>100uA@50V 3V@2V,300mA 1.6V@350mA 4mA@12V 100uA@50V 1.25V@350mA 500mA 25pF SOP-16_150mil Darlington Transistor Arrays ROHS</t>
  </si>
  <si>
    <t>IC USB TO UART BRIDGE QFN24</t>
  </si>
  <si>
    <t>IC TRANSLTR BIDIRECTIONAL 8VSSOP</t>
  </si>
  <si>
    <t>WQFN-40-EP(5x5) Ethernet ICs ROHS</t>
  </si>
  <si>
    <t>Power Switch/Driver 1:1 P-Channel 1.7V~5.5V 130mΩ 1.2A SC-70-6</t>
  </si>
  <si>
    <t>IC REG LDO ADJ 3A TO263-5</t>
  </si>
  <si>
    <t>IC REG LINEAR 1.8V 800MA SOT223</t>
  </si>
  <si>
    <t>IC XPNDR 400KHZ I2C SMBUS 32UQFN</t>
  </si>
  <si>
    <t>Optoisolator Output Channel 4-SMD</t>
  </si>
  <si>
    <t>IC BUFFER SCHMITT TRIGGER 5TSOP</t>
  </si>
  <si>
    <t>SOP-8-EP Audio Power OpAmps ROHS</t>
  </si>
  <si>
    <t>IC USB SWITCH DPDT 10MSOP</t>
  </si>
  <si>
    <t>37.4MHz SMD Crystal Resonator 9pF 60Ω ±10ppm -40℃~+85℃ SMD2016-4P Crystals</t>
  </si>
  <si>
    <t>CRYSTAL 25.0000MHZ 12PF SMD</t>
  </si>
  <si>
    <t>Footprint</t>
  </si>
  <si>
    <t>Cap-0402</t>
  </si>
  <si>
    <t>Cap-1206</t>
  </si>
  <si>
    <t>Cap-0603</t>
  </si>
  <si>
    <t>Cap-0805</t>
  </si>
  <si>
    <t>cap-0402</t>
  </si>
  <si>
    <t>Case-E</t>
  </si>
  <si>
    <t>Case-B</t>
  </si>
  <si>
    <t>RVT1H101M0607</t>
  </si>
  <si>
    <t>CAP-0603</t>
  </si>
  <si>
    <t>DFN1006-2L (Bi-Directional)</t>
  </si>
  <si>
    <t>DFN2510-10L_</t>
  </si>
  <si>
    <t>SMB Bi Directional</t>
  </si>
  <si>
    <t>SOT-363</t>
  </si>
  <si>
    <t>SOD-123</t>
  </si>
  <si>
    <t>DFN1006-2L_</t>
  </si>
  <si>
    <t>Sot-23</t>
  </si>
  <si>
    <t>SOT-23</t>
  </si>
  <si>
    <t>Fuse 1206 (3216 Metric)</t>
  </si>
  <si>
    <t>Fuse-0603</t>
  </si>
  <si>
    <t>Ind-0805</t>
  </si>
  <si>
    <t>IND-0603 (1608 Metric)</t>
  </si>
  <si>
    <t>IND-1206</t>
  </si>
  <si>
    <t>TF-01A</t>
  </si>
  <si>
    <t>AS0B826-S78B-7H</t>
  </si>
  <si>
    <t>10029449-111RLF</t>
  </si>
  <si>
    <t>HC-XH-3A-R</t>
  </si>
  <si>
    <t>U224-081N-1BR61</t>
  </si>
  <si>
    <t>UEA1112C-8HS6-4F</t>
  </si>
  <si>
    <t>DC-053D-25A</t>
  </si>
  <si>
    <t>XKNANO-113</t>
  </si>
  <si>
    <t>DB2ERC-3.5-3P-GN</t>
  </si>
  <si>
    <t>PZ254-2-10-S</t>
  </si>
  <si>
    <t>XH-4A-L</t>
  </si>
  <si>
    <t>HR911130C</t>
  </si>
  <si>
    <t>HC-XH-2A-G</t>
  </si>
  <si>
    <t>XH-4A</t>
  </si>
  <si>
    <t>PJ-332D-6A</t>
  </si>
  <si>
    <t>TF31-30S-0.5SH(800)</t>
  </si>
  <si>
    <t>XH-2A-Y</t>
  </si>
  <si>
    <t>TYPE-C-31-D-07</t>
  </si>
  <si>
    <t>YSPIT0630A-1R0M</t>
  </si>
  <si>
    <t>LED-0603</t>
  </si>
  <si>
    <t>LED-0402</t>
  </si>
  <si>
    <t>SMD3535</t>
  </si>
  <si>
    <t>SOT-563</t>
  </si>
  <si>
    <t>SOT-523</t>
  </si>
  <si>
    <t>SOT-723</t>
  </si>
  <si>
    <t>Res-0402</t>
  </si>
  <si>
    <t>Res-0603</t>
  </si>
  <si>
    <t>YC164-FR-0710KL</t>
  </si>
  <si>
    <t>0603x4</t>
  </si>
  <si>
    <t>SOIC-16</t>
  </si>
  <si>
    <t>U-DFN2510-10</t>
  </si>
  <si>
    <t>24-TSSOP</t>
  </si>
  <si>
    <t>SOT-23-5</t>
  </si>
  <si>
    <t>PowerPAK-SO-8</t>
  </si>
  <si>
    <t>SOT-23-6</t>
  </si>
  <si>
    <t>17-FC2QFN (3.5x3.75)</t>
  </si>
  <si>
    <t>A7682E</t>
  </si>
  <si>
    <t>TXB0102DCUT</t>
  </si>
  <si>
    <t>DFN-6-EP(2x2)</t>
  </si>
  <si>
    <t>SOP-16_150mil</t>
  </si>
  <si>
    <t>CP2102N-A02-GQFN24R</t>
  </si>
  <si>
    <t>VSSOP-8(3.1x2.1)</t>
  </si>
  <si>
    <t>WQFN-40-EP(5x5)</t>
  </si>
  <si>
    <t>TO-263-5 (D2PAK)</t>
  </si>
  <si>
    <t>SOT- 223</t>
  </si>
  <si>
    <t>32-UQFN (5x5)</t>
  </si>
  <si>
    <t>PC817X2NIPW</t>
  </si>
  <si>
    <t>SC-74A</t>
  </si>
  <si>
    <t>8-SOIC-EP</t>
  </si>
  <si>
    <t>10-MSOP</t>
  </si>
  <si>
    <t>Q22FA12800090</t>
  </si>
  <si>
    <t>Manufacturer Part Number</t>
  </si>
  <si>
    <t>CC0402KRX5R7BB104</t>
  </si>
  <si>
    <t>CC0402JRNPO9BN101</t>
  </si>
  <si>
    <t>CC1206KKX7RDBB102</t>
  </si>
  <si>
    <t>CC0402KRX5R7BB105</t>
  </si>
  <si>
    <t>CC0603KRX5R7BB106</t>
  </si>
  <si>
    <t>GRM21BR61H475KE51L</t>
  </si>
  <si>
    <t>CC0402KRX5R8BB105</t>
  </si>
  <si>
    <t>C1005X7R1H104KT000F</t>
  </si>
  <si>
    <t>GRM21BR61H106ME43L</t>
  </si>
  <si>
    <t>GRM31CR61E476ME44L</t>
  </si>
  <si>
    <t>GRM155R61E225KE11D</t>
  </si>
  <si>
    <t>CC0402KRX7R8BB102</t>
  </si>
  <si>
    <t>CC0402BRNPO9BN3R9</t>
  </si>
  <si>
    <t>GRM1555C1H100JA01D</t>
  </si>
  <si>
    <t>TAJE477K010RNJ</t>
  </si>
  <si>
    <t>CC0603KRX5R9BB104</t>
  </si>
  <si>
    <t>GRM1555C1E330JA01D</t>
  </si>
  <si>
    <t>TAJB107M010RNJ</t>
  </si>
  <si>
    <t>CC0402KRX5R8BB224</t>
  </si>
  <si>
    <t>CC0402MRX5R6BB106</t>
  </si>
  <si>
    <t>C1608X5R1E106M080AC</t>
  </si>
  <si>
    <t>CC0402KRX5R6BB475</t>
  </si>
  <si>
    <t>GJM1555C1H120GB01D</t>
  </si>
  <si>
    <t>0402N270J250CT</t>
  </si>
  <si>
    <t>CC0402KRX7R9BB153</t>
  </si>
  <si>
    <t>CC0603KRX7R0BB104</t>
  </si>
  <si>
    <t>CC0603JRNPO8BN102</t>
  </si>
  <si>
    <t>CC0603KRX5R8BB105</t>
  </si>
  <si>
    <t>ESD5451N</t>
  </si>
  <si>
    <t>ESD5344D-10/TR</t>
  </si>
  <si>
    <t>SMBJ33CA-13-F</t>
  </si>
  <si>
    <t>BZX84C3V3TS-7-F</t>
  </si>
  <si>
    <t>MMSZ5231BT1G</t>
  </si>
  <si>
    <t>ESD9X5VU</t>
  </si>
  <si>
    <t>ESD5302F-3/TR</t>
  </si>
  <si>
    <t>ESD5651N-2/TR</t>
  </si>
  <si>
    <t>DRTR5V0U1SO-7</t>
  </si>
  <si>
    <t>0458005.DR</t>
  </si>
  <si>
    <t>SMD0603-050</t>
  </si>
  <si>
    <t>BLM18PG181SN1D</t>
  </si>
  <si>
    <t>BLM31KN102SN1L</t>
  </si>
  <si>
    <t>U.FL-R-SMT-1(80)</t>
  </si>
  <si>
    <t>10118192-0001LF</t>
  </si>
  <si>
    <t>G6K-2F-Y-TR-DC5</t>
  </si>
  <si>
    <t>SWPA4030S4R7MT</t>
  </si>
  <si>
    <t>MAKK2016T2R2M</t>
  </si>
  <si>
    <t>NCD0603G2</t>
  </si>
  <si>
    <t>NCD0603R3</t>
  </si>
  <si>
    <t>NCD0603Y2</t>
  </si>
  <si>
    <t>XZMYK68W-2</t>
  </si>
  <si>
    <t>XZMDK68W-2</t>
  </si>
  <si>
    <t>XZCBD68W-2</t>
  </si>
  <si>
    <t>WS2812B-MINI-V3/W</t>
  </si>
  <si>
    <t>SI1024X-T1-GE3</t>
  </si>
  <si>
    <t>FDN335N</t>
  </si>
  <si>
    <t>SS8050-G</t>
  </si>
  <si>
    <t>2SK3018</t>
  </si>
  <si>
    <t>AOSS21311C</t>
  </si>
  <si>
    <t>MMBT3904T-7-F</t>
  </si>
  <si>
    <t>MMBT3904M</t>
  </si>
  <si>
    <t>RC0402FR-0710KL</t>
  </si>
  <si>
    <t>RC0402FR-07100KL</t>
  </si>
  <si>
    <t>AF0402JR-071ML</t>
  </si>
  <si>
    <t>RC0402FR-074K7L</t>
  </si>
  <si>
    <t>RC0402FR-071KL</t>
  </si>
  <si>
    <t>RC0402FR-07100RL</t>
  </si>
  <si>
    <t>RC0402FR-0722RL</t>
  </si>
  <si>
    <t>RT0603BRB07120RL</t>
  </si>
  <si>
    <t>RC0402FR-070RL</t>
  </si>
  <si>
    <t>RC0402FR-076K8L</t>
  </si>
  <si>
    <t>RT0402FRE07510RL</t>
  </si>
  <si>
    <t>RC0603FR-0722K1L</t>
  </si>
  <si>
    <t>RC0402FR-075K1L</t>
  </si>
  <si>
    <t>RC0603FR-0747K5L</t>
  </si>
  <si>
    <t>RC0603FR-072K7L</t>
  </si>
  <si>
    <t>RC0603JR-07330RL</t>
  </si>
  <si>
    <t>RC0402FR-0712KL</t>
  </si>
  <si>
    <t>RC0402FR-0739KL</t>
  </si>
  <si>
    <t>CRCW06031K00FKEA</t>
  </si>
  <si>
    <t>RC0603FR-07180RL</t>
  </si>
  <si>
    <t>RC0603JR-070RL</t>
  </si>
  <si>
    <t>RCS04021K80FKED</t>
  </si>
  <si>
    <t>RC0402FR-072K2L</t>
  </si>
  <si>
    <t>RC0402FR-0715KL</t>
  </si>
  <si>
    <t>RC0402FR-0720KL</t>
  </si>
  <si>
    <t>RC0402FR-07120RL</t>
  </si>
  <si>
    <t>RC0402FR-072K49L</t>
  </si>
  <si>
    <t>RC0402FR-073KL</t>
  </si>
  <si>
    <t>RC0603FR-07470RL</t>
  </si>
  <si>
    <t>RC0402FR-0747KL</t>
  </si>
  <si>
    <t>RC0402FR-071K5L</t>
  </si>
  <si>
    <t>RC0402FR-0751KL</t>
  </si>
  <si>
    <t>RC0402FR-07499RL</t>
  </si>
  <si>
    <t>RT0402BRD0722K1L</t>
  </si>
  <si>
    <t>RT0402BRD0715KL</t>
  </si>
  <si>
    <t>YC164-FR-0722RL</t>
  </si>
  <si>
    <t>TS-1185EC-C-D-B</t>
  </si>
  <si>
    <t>DT1240-04LP-7</t>
  </si>
  <si>
    <t>TPD12S016PWR</t>
  </si>
  <si>
    <t>SY6280AAC</t>
  </si>
  <si>
    <t>SQJ886EP-T1_GE3</t>
  </si>
  <si>
    <t>LM74700QDBVRQ1</t>
  </si>
  <si>
    <t>MAX20006AFOB/VY+T</t>
  </si>
  <si>
    <t>MAX20008AFOC/VY+T</t>
  </si>
  <si>
    <t>SMF05CT1G-ES</t>
  </si>
  <si>
    <t>AP6256</t>
  </si>
  <si>
    <t>GXHTC3</t>
  </si>
  <si>
    <t>ULN2003A</t>
  </si>
  <si>
    <t>TXS0102DCUR</t>
  </si>
  <si>
    <t>RTL8211F-CG</t>
  </si>
  <si>
    <t>MIC94093YC6-TR</t>
  </si>
  <si>
    <t>MIC29302WU-TR</t>
  </si>
  <si>
    <t>LM1117MPX-1.8/NOPB</t>
  </si>
  <si>
    <t>TCA6424ARGJR</t>
  </si>
  <si>
    <t>74LVC1G17GV,125</t>
  </si>
  <si>
    <t>NS4110B</t>
  </si>
  <si>
    <t>FSUSB42MUX</t>
  </si>
  <si>
    <t>Q22FA12800078</t>
  </si>
  <si>
    <t>Manufacturer</t>
  </si>
  <si>
    <t>Yageo</t>
  </si>
  <si>
    <t>Murata</t>
  </si>
  <si>
    <t>TDK</t>
  </si>
  <si>
    <t>Kyocera AVX</t>
  </si>
  <si>
    <t>ROQANG</t>
  </si>
  <si>
    <t>Walsin Technologies</t>
  </si>
  <si>
    <t>TECH PUBLIC</t>
  </si>
  <si>
    <t>WILLSEMI</t>
  </si>
  <si>
    <t>Diodes</t>
  </si>
  <si>
    <t>Diodes Incorporated</t>
  </si>
  <si>
    <t>ON Semiconductor</t>
  </si>
  <si>
    <t>WILLSEMI(Will Semicon)</t>
  </si>
  <si>
    <t>Littelfuse</t>
  </si>
  <si>
    <t>TECHFUSE</t>
  </si>
  <si>
    <t>Yuandi</t>
  </si>
  <si>
    <t>FOXCONN</t>
  </si>
  <si>
    <t>Amphenol ICC / FCI</t>
  </si>
  <si>
    <t>HCTL</t>
  </si>
  <si>
    <t>XKB Connection</t>
  </si>
  <si>
    <t>Korean Hroparts Elec</t>
  </si>
  <si>
    <t>BAT WIRELESS</t>
  </si>
  <si>
    <t>XKB Connectivity</t>
  </si>
  <si>
    <t>DORABO</t>
  </si>
  <si>
    <t>Hirose</t>
  </si>
  <si>
    <t>Amphenol FCI</t>
  </si>
  <si>
    <t>HANRUN</t>
  </si>
  <si>
    <t>Omron</t>
  </si>
  <si>
    <t>Sunlord</t>
  </si>
  <si>
    <t>Taiyo Yuden</t>
  </si>
  <si>
    <t>YJYCOIN</t>
  </si>
  <si>
    <t>Foshan NationStar Optoelectronics</t>
  </si>
  <si>
    <t>SunLED</t>
  </si>
  <si>
    <t>Worldsemi</t>
  </si>
  <si>
    <t>Vishay Intertech</t>
  </si>
  <si>
    <t>Comchip</t>
  </si>
  <si>
    <t>KUU</t>
  </si>
  <si>
    <t>Alpha &amp; Omega Semiconductor</t>
  </si>
  <si>
    <t>Diodes Zetex</t>
  </si>
  <si>
    <t>Vishay Dale</t>
  </si>
  <si>
    <t>YAGEO</t>
  </si>
  <si>
    <t>XKB</t>
  </si>
  <si>
    <t>Texas Instruments</t>
  </si>
  <si>
    <t>Silergy</t>
  </si>
  <si>
    <t>Vishay Siliconix</t>
  </si>
  <si>
    <t>Maxim</t>
  </si>
  <si>
    <t>Analog Devices</t>
  </si>
  <si>
    <t>SIMCom Wireless Solutions</t>
  </si>
  <si>
    <t>ElecSuper</t>
  </si>
  <si>
    <t>SparkLan</t>
  </si>
  <si>
    <t>GXCAS</t>
  </si>
  <si>
    <t>Mixic</t>
  </si>
  <si>
    <t>Silicon Labs</t>
  </si>
  <si>
    <t>Realtek Semicon</t>
  </si>
  <si>
    <t>Microchip Tech</t>
  </si>
  <si>
    <t>Microchip</t>
  </si>
  <si>
    <t>TI National Semiconductor</t>
  </si>
  <si>
    <t>Sharp</t>
  </si>
  <si>
    <t>Nexperia</t>
  </si>
  <si>
    <t>Shenzhen Nsiway Tech</t>
  </si>
  <si>
    <t>ON Semiconductor / Fairchild</t>
  </si>
  <si>
    <t>Seiko</t>
  </si>
  <si>
    <t>Seiko Epson</t>
  </si>
  <si>
    <t>LCSC Part Number</t>
  </si>
  <si>
    <t>C106204</t>
  </si>
  <si>
    <t>C106200</t>
  </si>
  <si>
    <t>C23631</t>
  </si>
  <si>
    <t>C325464</t>
  </si>
  <si>
    <t>C162420</t>
  </si>
  <si>
    <t>C326568</t>
  </si>
  <si>
    <t>C361198</t>
  </si>
  <si>
    <t>C2190942</t>
  </si>
  <si>
    <t>C403725</t>
  </si>
  <si>
    <t>C385032</t>
  </si>
  <si>
    <t>C541372</t>
  </si>
  <si>
    <t>C505474</t>
  </si>
  <si>
    <t>C76946</t>
  </si>
  <si>
    <t>C7234</t>
  </si>
  <si>
    <t>C110022</t>
  </si>
  <si>
    <t>C441758</t>
  </si>
  <si>
    <t>C7196</t>
  </si>
  <si>
    <t>C326836</t>
  </si>
  <si>
    <t>C962143</t>
  </si>
  <si>
    <t>C2168289</t>
  </si>
  <si>
    <t>C3151829</t>
  </si>
  <si>
    <t>C326586</t>
  </si>
  <si>
    <t>C161305</t>
  </si>
  <si>
    <t>C424826</t>
  </si>
  <si>
    <t>C114405</t>
  </si>
  <si>
    <t>C113803</t>
  </si>
  <si>
    <t>C309470</t>
  </si>
  <si>
    <t>C14664</t>
  </si>
  <si>
    <t>C2936977</t>
  </si>
  <si>
    <t>C239666</t>
  </si>
  <si>
    <t>C135068</t>
  </si>
  <si>
    <t>C5124989</t>
  </si>
  <si>
    <t>C66198</t>
  </si>
  <si>
    <t>C2875160</t>
  </si>
  <si>
    <t>C239643</t>
  </si>
  <si>
    <t>C239784</t>
  </si>
  <si>
    <t>C1973123</t>
  </si>
  <si>
    <t>C187561</t>
  </si>
  <si>
    <t>C69679</t>
  </si>
  <si>
    <t>C16903</t>
  </si>
  <si>
    <t>C82850</t>
  </si>
  <si>
    <t>C560056</t>
  </si>
  <si>
    <t>C2889258</t>
  </si>
  <si>
    <t>C426232</t>
  </si>
  <si>
    <t>C427307</t>
  </si>
  <si>
    <t>C7466690</t>
  </si>
  <si>
    <t>C908455</t>
  </si>
  <si>
    <t>C225759</t>
  </si>
  <si>
    <t>C2686352</t>
  </si>
  <si>
    <t>C381071</t>
  </si>
  <si>
    <t>C430551</t>
  </si>
  <si>
    <t>C3294468</t>
  </si>
  <si>
    <t>C88374</t>
  </si>
  <si>
    <t>C132564</t>
  </si>
  <si>
    <t>C2979569</t>
  </si>
  <si>
    <t>C50933</t>
  </si>
  <si>
    <t>C5341201</t>
  </si>
  <si>
    <t>C2908602</t>
  </si>
  <si>
    <t>C840336</t>
  </si>
  <si>
    <t>C5137133</t>
  </si>
  <si>
    <t>C2908595</t>
  </si>
  <si>
    <t>C47190</t>
  </si>
  <si>
    <t>C57269</t>
  </si>
  <si>
    <t>C92923</t>
  </si>
  <si>
    <t>C18236293</t>
  </si>
  <si>
    <t>C87326</t>
  </si>
  <si>
    <t>C3151730</t>
  </si>
  <si>
    <t>C89811</t>
  </si>
  <si>
    <t>C527089</t>
  </si>
  <si>
    <t>C86784</t>
  </si>
  <si>
    <t>C5123904</t>
  </si>
  <si>
    <t>C105433</t>
  </si>
  <si>
    <t>C2944164</t>
  </si>
  <si>
    <t>C3280149</t>
  </si>
  <si>
    <t>C239187</t>
  </si>
  <si>
    <t>C2923360</t>
  </si>
  <si>
    <t>C60490</t>
  </si>
  <si>
    <t>C60491</t>
  </si>
  <si>
    <t>C144054</t>
  </si>
  <si>
    <t>C105871</t>
  </si>
  <si>
    <t>C106235</t>
  </si>
  <si>
    <t>C106232</t>
  </si>
  <si>
    <t>C114765</t>
  </si>
  <si>
    <t>C860088</t>
  </si>
  <si>
    <t>C106231</t>
  </si>
  <si>
    <t>C110924</t>
  </si>
  <si>
    <t>C93940</t>
  </si>
  <si>
    <t>C854355</t>
  </si>
  <si>
    <t>C137768</t>
  </si>
  <si>
    <t>C105872</t>
  </si>
  <si>
    <t>C114612</t>
  </si>
  <si>
    <t>C105879</t>
  </si>
  <si>
    <t>C137995</t>
  </si>
  <si>
    <t>C844920</t>
  </si>
  <si>
    <t>C137786</t>
  </si>
  <si>
    <t>C95177</t>
  </si>
  <si>
    <t>C114762</t>
  </si>
  <si>
    <t>C114761</t>
  </si>
  <si>
    <t>C93942</t>
  </si>
  <si>
    <t>C114758</t>
  </si>
  <si>
    <t>C145071</t>
  </si>
  <si>
    <t>C137987</t>
  </si>
  <si>
    <t>C114669</t>
  </si>
  <si>
    <t>C93943</t>
  </si>
  <si>
    <t>C114759</t>
  </si>
  <si>
    <t>C107229</t>
  </si>
  <si>
    <t>C137970</t>
  </si>
  <si>
    <t>C852648</t>
  </si>
  <si>
    <t>C852545</t>
  </si>
  <si>
    <t>C318893</t>
  </si>
  <si>
    <t>C55136</t>
  </si>
  <si>
    <t>C727822</t>
  </si>
  <si>
    <t>C2941042</t>
  </si>
  <si>
    <t>C5362858</t>
  </si>
  <si>
    <t>C5180312</t>
  </si>
  <si>
    <t>C2837688</t>
  </si>
  <si>
    <t>C181730</t>
  </si>
  <si>
    <t>C53434</t>
  </si>
  <si>
    <t>C187932</t>
  </si>
  <si>
    <t>C626244</t>
  </si>
  <si>
    <t>C11149</t>
  </si>
  <si>
    <t>C9660</t>
  </si>
  <si>
    <t>C80692</t>
  </si>
  <si>
    <t>C2840443</t>
  </si>
  <si>
    <t>C6076</t>
  </si>
  <si>
    <t>C5334145</t>
  </si>
  <si>
    <t>C11355</t>
  </si>
  <si>
    <t>C255897</t>
  </si>
  <si>
    <t>C255883</t>
  </si>
  <si>
    <t>100nF</t>
  </si>
  <si>
    <t>100pF</t>
  </si>
  <si>
    <t>1nF</t>
  </si>
  <si>
    <t>1uF</t>
  </si>
  <si>
    <t>10uF</t>
  </si>
  <si>
    <t>4.7uf</t>
  </si>
  <si>
    <t>47uF</t>
  </si>
  <si>
    <t>2.2uf</t>
  </si>
  <si>
    <t>1000pF</t>
  </si>
  <si>
    <t>3.9pF</t>
  </si>
  <si>
    <t>10pF</t>
  </si>
  <si>
    <t>470uF</t>
  </si>
  <si>
    <t>33pF</t>
  </si>
  <si>
    <t>100uF</t>
  </si>
  <si>
    <t>220nF</t>
  </si>
  <si>
    <t>4.7uF</t>
  </si>
  <si>
    <t>12pF</t>
  </si>
  <si>
    <t>27pF</t>
  </si>
  <si>
    <t>15nF</t>
  </si>
  <si>
    <t>0.1uF</t>
  </si>
  <si>
    <t>4.7uH</t>
  </si>
  <si>
    <t>2.2uH</t>
  </si>
  <si>
    <t>1uH</t>
  </si>
  <si>
    <t>10K</t>
  </si>
  <si>
    <t>100K</t>
  </si>
  <si>
    <t>1M</t>
  </si>
  <si>
    <t>4.7K</t>
  </si>
  <si>
    <t>1K</t>
  </si>
  <si>
    <t>DNP</t>
  </si>
  <si>
    <t>22R</t>
  </si>
  <si>
    <t>120R</t>
  </si>
  <si>
    <t>0R</t>
  </si>
  <si>
    <t>6.8K</t>
  </si>
  <si>
    <t>510R</t>
  </si>
  <si>
    <t>22.1K</t>
  </si>
  <si>
    <t>5.1K</t>
  </si>
  <si>
    <t>47.5K</t>
  </si>
  <si>
    <t>2.7K</t>
  </si>
  <si>
    <t>330R</t>
  </si>
  <si>
    <t>12K</t>
  </si>
  <si>
    <t>39K</t>
  </si>
  <si>
    <t>180R</t>
  </si>
  <si>
    <t>1.8K</t>
  </si>
  <si>
    <t>2.2K</t>
  </si>
  <si>
    <t>100R</t>
  </si>
  <si>
    <t>15K</t>
  </si>
  <si>
    <t>20K</t>
  </si>
  <si>
    <t>2.49K</t>
  </si>
  <si>
    <t>3K</t>
  </si>
  <si>
    <t>470R</t>
  </si>
  <si>
    <t>47K</t>
  </si>
  <si>
    <t>1.5K</t>
  </si>
  <si>
    <t>51K</t>
  </si>
  <si>
    <t>499R</t>
  </si>
  <si>
    <t>37.4MHz</t>
  </si>
  <si>
    <t>25MHz</t>
  </si>
  <si>
    <t>Quantity</t>
  </si>
  <si>
    <t>Bill of Materials for Project [Carrier-Board-v1.0]</t>
  </si>
  <si>
    <t>Carrier-Board-v1.0</t>
  </si>
  <si>
    <t>Alternate Part Number</t>
  </si>
  <si>
    <t>Value</t>
  </si>
  <si>
    <t>Quantity (3 Boards)</t>
  </si>
  <si>
    <t>Links</t>
  </si>
  <si>
    <t>Remarks</t>
  </si>
  <si>
    <t>Reviewer Remarks</t>
  </si>
  <si>
    <t>MOQ (3 Boards)</t>
  </si>
  <si>
    <t>Unit Cost (3 Boards)</t>
  </si>
  <si>
    <t>Total Cost (3 Boards)</t>
  </si>
  <si>
    <t>-</t>
  </si>
  <si>
    <t>Switch</t>
  </si>
  <si>
    <t>Peripheral</t>
  </si>
  <si>
    <t xml:space="preserve">SMA Antenna </t>
  </si>
  <si>
    <t>UFL Antenna</t>
  </si>
  <si>
    <t>BW2.4FNX42-12B1</t>
  </si>
  <si>
    <t>Adaptor</t>
  </si>
  <si>
    <t>12V 8A</t>
  </si>
  <si>
    <t>DAMTSM</t>
  </si>
  <si>
    <t>Compute Module</t>
  </si>
  <si>
    <t>Rockchip RK3568 8G/64G</t>
  </si>
  <si>
    <t>Core-3568J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</si>
  <si>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</si>
  <si>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</si>
  <si>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</si>
  <si>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</si>
  <si>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</si>
  <si>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</si>
  <si>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</si>
  <si>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</si>
  <si>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</si>
  <si>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</si>
  <si>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Custom</t>
  </si>
  <si>
    <t>QFN-24</t>
  </si>
  <si>
    <t>LCSC</t>
  </si>
  <si>
    <t>Aliexpress</t>
  </si>
  <si>
    <t>Firefly</t>
  </si>
  <si>
    <t>AmaZon</t>
  </si>
  <si>
    <t>C2689965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</si>
  <si>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</si>
  <si>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</si>
  <si>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</si>
  <si>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</si>
  <si>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</si>
  <si>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C1509213</t>
  </si>
  <si>
    <t>Common Mode Choke</t>
  </si>
  <si>
    <t>IC RS232 LINE DVR/RCVR 16-SOIC</t>
  </si>
  <si>
    <t>C193666</t>
  </si>
  <si>
    <t>C444992</t>
  </si>
  <si>
    <t>C201665</t>
  </si>
  <si>
    <t>C2677366</t>
  </si>
  <si>
    <t>C5248079</t>
  </si>
  <si>
    <t>C969151</t>
  </si>
  <si>
    <t>C92487</t>
  </si>
  <si>
    <t>CL10A106MO8NQNC</t>
  </si>
  <si>
    <t>C434450</t>
  </si>
  <si>
    <t>C965790</t>
  </si>
  <si>
    <t>1005SURC</t>
  </si>
  <si>
    <t>SZYY0402Y</t>
  </si>
  <si>
    <t>SZYY0402B</t>
  </si>
  <si>
    <t>C434447</t>
  </si>
  <si>
    <t>RTA03-4D22R0FTP</t>
  </si>
  <si>
    <t>C7422178</t>
  </si>
  <si>
    <t>Chipsmall</t>
  </si>
  <si>
    <t>JLCPCB</t>
  </si>
  <si>
    <t>CMC 100MA 2LN 90 OHM SMD</t>
  </si>
  <si>
    <t>DO NOT PLACE</t>
  </si>
  <si>
    <t>C2933225</t>
  </si>
  <si>
    <t>FRC0603F4752TS</t>
  </si>
  <si>
    <t>C114760</t>
  </si>
  <si>
    <t>1.8 3dBi Vertical 50W - Antennas ROHS</t>
  </si>
  <si>
    <t>BWGSMJWX105-7KJ</t>
  </si>
  <si>
    <t>1.5 3dBi Vertical 50W - Antennas ROHS</t>
  </si>
  <si>
    <t>C497021</t>
  </si>
  <si>
    <t>C496564</t>
  </si>
  <si>
    <t>RK73B1ETTP182J</t>
  </si>
  <si>
    <t>C131527</t>
  </si>
  <si>
    <t>R58, R66, R198</t>
  </si>
  <si>
    <t>MCZ1210CH900L2TA0G</t>
  </si>
  <si>
    <t>C307688</t>
  </si>
  <si>
    <t>C82, C83, C127, C128, C138, C139</t>
  </si>
  <si>
    <t>20/ 50pcs M3 M4 M5 M6 M8 White/ Black ABS Non-Threaded Spacer Round Hollow Standoff Washer PCB Board Spacer length 2 to 25mm</t>
  </si>
  <si>
    <t>M3x5mm 100pcs</t>
  </si>
  <si>
    <t>D1, D2</t>
  </si>
  <si>
    <t>TVS DIODE 7V/12V 14V/26V SOT23-3</t>
  </si>
  <si>
    <t>CDSOT23-SM712</t>
  </si>
  <si>
    <t>Bourns</t>
  </si>
  <si>
    <t>D3, D4, D7, D8, D9, D10, D11, D12, D13, D14, D22, D23, D24, D25, D48, D49, D50, D51, D53, D54, D55, D56, D57, D61, D64, D65, D66, D68</t>
  </si>
  <si>
    <t>BLM21PG300SN1D</t>
  </si>
  <si>
    <t>2x3P 2 2mm 2mm male 3 -25℃~+85℃ 3A Straight Plugin,P=2mm Wire To Board / Wire To Wire Connector ROHS</t>
  </si>
  <si>
    <t>HX20012-6A black</t>
  </si>
  <si>
    <t>HX(Zhejiang Yueqing Hongxing Elec)</t>
  </si>
  <si>
    <t>Q14</t>
  </si>
  <si>
    <t>R8, R9,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</si>
  <si>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R11, R14, R15, R16, R19, R20, R21, R22, R119, R120, R121, R122, R123, R124, R144, R145, R146, R147, R148, R149, R239, R240, R241, R242, R243, R244, R245, R246</t>
  </si>
  <si>
    <t>R17</t>
  </si>
  <si>
    <t>IC TXRX RS485/422 10MBPS 8SOIC</t>
  </si>
  <si>
    <t>SOIC-8(0.154", 3.90mm Width)</t>
  </si>
  <si>
    <t>MAX3490EESA+T</t>
  </si>
  <si>
    <t>Surge Protection (TVS/ESD)</t>
  </si>
  <si>
    <t>C5122012</t>
  </si>
  <si>
    <t>C469723</t>
  </si>
  <si>
    <t>C23404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</si>
</sst>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8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6" fillId="2" borderId="15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3" fillId="2" borderId="10" xfId="1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/>
    </xf>
    <xf numFmtId="0" fontId="22" fillId="2" borderId="18" xfId="1" applyFill="1" applyBorder="1" applyAlignment="1">
      <alignment horizontal="center" vertical="center" wrapText="1"/>
    </xf>
    <xf numFmtId="165" fontId="16" fillId="2" borderId="19" xfId="0" applyNumberFormat="1" applyFont="1" applyFill="1" applyBorder="1" applyAlignment="1">
      <alignment horizontal="center" vertical="center" wrapText="1"/>
    </xf>
    <xf numFmtId="165" fontId="16" fillId="2" borderId="20" xfId="0" applyNumberFormat="1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25" fillId="2" borderId="10" xfId="1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/>
    </xf>
    <xf numFmtId="0" fontId="1" fillId="2" borderId="0" xfId="0" applyFont="1" applyFill="1" applyAlignment="1"/>
    <xf numFmtId="0" fontId="10" fillId="4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22" fillId="2" borderId="10" xfId="1" applyFill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3" fillId="2" borderId="10" xfId="1" applyFont="1" applyFill="1" applyBorder="1" applyAlignment="1">
      <alignment horizontal="center" vertical="center"/>
    </xf>
    <xf numFmtId="0" fontId="22" fillId="0" borderId="0" xfId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7" fillId="2" borderId="11" xfId="0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24" fillId="2" borderId="1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3KL_C137987.html" TargetMode="External"/><Relationship Id="rId21" Type="http://schemas.openxmlformats.org/officeDocument/2006/relationships/hyperlink" Target="https://www.lcsc.com/product-detail/Audio-Connector-Headphone_Korean-Hroparts-Elec-PJ-332D-6A_C840336.html" TargetMode="External"/><Relationship Id="rId42" Type="http://schemas.openxmlformats.org/officeDocument/2006/relationships/hyperlink" Target="https://www.aliexpress.com/item/3256806445988559.html?" TargetMode="External"/><Relationship Id="rId63" Type="http://schemas.openxmlformats.org/officeDocument/2006/relationships/hyperlink" Target="https://www.lcsc.com/product-detail/Multilayer-Ceramic-Capacitors-MLCC-SMD-SMT_TDK-C1608X5R1E106M080AC_C2168289.html" TargetMode="External"/><Relationship Id="rId84" Type="http://schemas.openxmlformats.org/officeDocument/2006/relationships/hyperlink" Target="https://www.lcsc.com/product-detail/Power-Inductors_Sunlord-SWPA4030S4R7MT_C57269.html" TargetMode="External"/><Relationship Id="rId138" Type="http://schemas.openxmlformats.org/officeDocument/2006/relationships/hyperlink" Target="https://www.lcsc.com/product-detail/Analog-Switches-Multiplexers_onsemi-FSUSB42MUX_C11355.html" TargetMode="External"/><Relationship Id="rId159" Type="http://schemas.openxmlformats.org/officeDocument/2006/relationships/hyperlink" Target="https://www.lcsc.com/product-detail/Wire-To-Board-Connector_HX-Zhejiang-Yueqing-Hongxing-Elec-HX20012-6A-black_C469723.html" TargetMode="External"/><Relationship Id="rId107" Type="http://schemas.openxmlformats.org/officeDocument/2006/relationships/hyperlink" Target="https://www.lcsc.com/product-detail/Chip-Resistor-Surface-Mount_Vishay-Intertech-CRCW06031K00FKEA_C844920.html" TargetMode="External"/><Relationship Id="rId11" Type="http://schemas.openxmlformats.org/officeDocument/2006/relationships/hyperlink" Target="https://www.lcsc.com/product-detail/USB-Connectors_XKB-Connection-U224-081N-1BR61_C908455.html" TargetMode="External"/><Relationship Id="rId32" Type="http://schemas.openxmlformats.org/officeDocument/2006/relationships/hyperlink" Target="https://www.lcsc.com/product-detail/Power-Distribution-Switches_Silergy-Corp-SY6280AAC_C55136.html" TargetMode="External"/><Relationship Id="rId53" Type="http://schemas.openxmlformats.org/officeDocument/2006/relationships/hyperlink" Target="https://www.lcsc.com/product-detail/Multilayer-Ceramic-Capacitors-MLCC-SMD-SMT_Murata-Electronics-GRM155R61E225KE11D_C385032.html" TargetMode="External"/><Relationship Id="rId74" Type="http://schemas.openxmlformats.org/officeDocument/2006/relationships/hyperlink" Target="https://www.lcsc.com/product-detail/Electrostatic-and-Surge-Protection-TVS-ESD_Diodes-Incorporated-DRTR5V0U1SO-7_C1973123.html" TargetMode="External"/><Relationship Id="rId128" Type="http://schemas.openxmlformats.org/officeDocument/2006/relationships/hyperlink" Target="https://www.lcsc.com/product-detail/MOSFETs_Vishay-Intertech-SQJ886EP-T1_GE3_C727822.html" TargetMode="External"/><Relationship Id="rId149" Type="http://schemas.openxmlformats.org/officeDocument/2006/relationships/hyperlink" Target="https://jlcpcb.com/partdetail/Simcom_WirelessSolutions-A7682E/C5362858" TargetMode="External"/><Relationship Id="rId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95" Type="http://schemas.openxmlformats.org/officeDocument/2006/relationships/hyperlink" Target="https://www.lcsc.com/product-detail/Chip-Resistor-Surface-Mount_YAGEO-RC0402FR-071KL_C106235.html" TargetMode="External"/><Relationship Id="rId160" Type="http://schemas.openxmlformats.org/officeDocument/2006/relationships/hyperlink" Target="https://www.lcsc.com/product-detail/RS-485-RS-422-ICs_Analog-Devices-Inc-Maxim-Integrated-MAX3490EESA-T_C23404.html" TargetMode="External"/><Relationship Id="rId22" Type="http://schemas.openxmlformats.org/officeDocument/2006/relationships/hyperlink" Target="https://www.lcsc.com/product-detail/Wire-To-Board-Connector_HCTL-XH-2A-Y_C2908595.html" TargetMode="External"/><Relationship Id="rId43" Type="http://schemas.openxmlformats.org/officeDocument/2006/relationships/hyperlink" Target="https://www.lcsc.com/product-detail/Antennas_BAT-WIRELESS-BW2-4FNX42-12B1_C496564.html" TargetMode="External"/><Relationship Id="rId64" Type="http://schemas.openxmlformats.org/officeDocument/2006/relationships/hyperlink" Target="https://www.lcsc.com/product-detail/Multilayer-Ceramic-Capacitors-MLCC-SMD-SMT_YAGEO-CC0402KRX5R6BB475_C326586.html" TargetMode="External"/><Relationship Id="rId118" Type="http://schemas.openxmlformats.org/officeDocument/2006/relationships/hyperlink" Target="https://www.lcsc.com/product-detail/Chip-Resistor-Surface-Mount_YAGEO-RC0603FR-07470RL_C114669.html" TargetMode="External"/><Relationship Id="rId139" Type="http://schemas.openxmlformats.org/officeDocument/2006/relationships/hyperlink" Target="https://www.lcsc.com/product-detail/Crystals_Seiko-Epson-Q22FA12800078_C255897.html" TargetMode="External"/><Relationship Id="rId85" Type="http://schemas.openxmlformats.org/officeDocument/2006/relationships/hyperlink" Target="https://www.lcsc.com/product-detail/Power-Inductors_Taiyo-Yuden-MAKK2016T2R2M_C92923.html" TargetMode="External"/><Relationship Id="rId150" Type="http://schemas.openxmlformats.org/officeDocument/2006/relationships/hyperlink" Target="https://www.chipsmall.com/Products/MIC94093YC6-TR_13233606.html" TargetMode="External"/><Relationship Id="rId12" Type="http://schemas.openxmlformats.org/officeDocument/2006/relationships/hyperlink" Target="https://www.lcsc.com/product-detail/USB-Connectors_FOXCONN-UEA1112C-8HS6-4F_C225759.html" TargetMode="External"/><Relationship Id="rId17" Type="http://schemas.openxmlformats.org/officeDocument/2006/relationships/hyperlink" Target="https://www.lcsc.com/product-detail/Wire-To-Board-Connector_HCTL-XH-4A-L_C2979569.html" TargetMode="External"/><Relationship Id="rId33" Type="http://schemas.openxmlformats.org/officeDocument/2006/relationships/hyperlink" Target="https://www.lcsc.com/product-detail/Electrostatic-and-Surge-Protection-TVS-ESD_ElecSuper-SMF05CT1G-ES_C5180312.html" TargetMode="External"/><Relationship Id="rId38" Type="http://schemas.openxmlformats.org/officeDocument/2006/relationships/hyperlink" Target="https://www.lcsc.com/product-detail/Audio-Power-OpAmps_Shenzhen-Nsiway-Tech-NS4110B_C5334145.html" TargetMode="External"/><Relationship Id="rId59" Type="http://schemas.openxmlformats.org/officeDocument/2006/relationships/hyperlink" Target="https://www.lcsc.com/product-detail/Multilayer-Ceramic-Capacitors-MLCC-SMD-SMT_Murata-Electronics-GRM1555C1E330JA01D_C441758.html" TargetMode="External"/><Relationship Id="rId103" Type="http://schemas.openxmlformats.org/officeDocument/2006/relationships/hyperlink" Target="https://www.lcsc.com/product-detail/Chip-Resistor-Surface-Mount_YAGEO-RC0402FR-075K1L_C105872.html" TargetMode="External"/><Relationship Id="rId108" Type="http://schemas.openxmlformats.org/officeDocument/2006/relationships/hyperlink" Target="https://www.lcsc.com/product-detail/Chip-Resistor-Surface-Mount_YAGEO-RC0603FR-07180RL_C137786.html" TargetMode="External"/><Relationship Id="rId124" Type="http://schemas.openxmlformats.org/officeDocument/2006/relationships/hyperlink" Target="https://www.lcsc.com/product-detail/Chip-Resistor-Surface-Mount_YAGEO-RT0402BRD0715KL_C852545.html" TargetMode="External"/><Relationship Id="rId129" Type="http://schemas.openxmlformats.org/officeDocument/2006/relationships/hyperlink" Target="https://www.lcsc.com/product-detail/Power-Distribution-Switches_Texas-Instruments-LM74700QDBVRQ1_C2941042.html" TargetMode="External"/><Relationship Id="rId54" Type="http://schemas.openxmlformats.org/officeDocument/2006/relationships/hyperlink" Target="https://www.lcsc.com/product-detail/Multilayer-Ceramic-Capacitors-MLCC-SMD-SMT_YAGEO-CC0402KRX7R8BB102_C541372.html" TargetMode="External"/><Relationship Id="rId70" Type="http://schemas.openxmlformats.org/officeDocument/2006/relationships/hyperlink" Target="https://www.lcsc.com/product-detail/Multilayer-Ceramic-Capacitors-MLCC-SMD-SMT_YAGEO-CC0603KRX5R8BB105_C14664.html" TargetMode="External"/><Relationship Id="rId75" Type="http://schemas.openxmlformats.org/officeDocument/2006/relationships/hyperlink" Target="https://www.lcsc.com/product-detail/Fuses_Littelfuse-0458005-DR_C187561.html" TargetMode="External"/><Relationship Id="rId91" Type="http://schemas.openxmlformats.org/officeDocument/2006/relationships/hyperlink" Target="https://www.lcsc.com/product-detail/Chip-Resistor-Surface-Mount_YAGEO-RC0402FR-0710KL_C60490.html" TargetMode="External"/><Relationship Id="rId96" Type="http://schemas.openxmlformats.org/officeDocument/2006/relationships/hyperlink" Target="https://www.lcsc.com/product-detail/Chip-Resistor-Surface-Mount_YAGEO-RC0402FR-0722RL_C114765.html" TargetMode="External"/><Relationship Id="rId140" Type="http://schemas.openxmlformats.org/officeDocument/2006/relationships/hyperlink" Target="https://www.lcsc.com/product-detail/Crystals_Seiko-Epson-Q22FA12800090_C255883.html" TargetMode="External"/><Relationship Id="rId145" Type="http://schemas.openxmlformats.org/officeDocument/2006/relationships/hyperlink" Target="https://www.lcsc.com/product-detail/Light-Emitting-Diodes-LED_Yongyu-Photoelectric-SZYY0402B_C434447.html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H101M0607_C3151829.html" TargetMode="External"/><Relationship Id="rId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23" Type="http://schemas.openxmlformats.org/officeDocument/2006/relationships/hyperlink" Target="https://www.lcsc.com/product-detail/USB-Connectors_Korean-Hroparts-Elec-TYPE-C-31-D-07_C2689965.html" TargetMode="External"/><Relationship Id="rId28" Type="http://schemas.openxmlformats.org/officeDocument/2006/relationships/hyperlink" Target="https://www.lcsc.com/product-detail/RGB-LEDs-Built-in-IC_Worldsemi-WS2812B-MINI-V3-W_C527089.html" TargetMode="External"/><Relationship Id="rId49" Type="http://schemas.openxmlformats.org/officeDocument/2006/relationships/hyperlink" Target="https://www.lcsc.com/product-detail/Multilayer-Ceramic-Capacitors-MLCC-SMD-SMT_YAGEO-CC0402KRX5R8BB105_C326568.html" TargetMode="External"/><Relationship Id="rId114" Type="http://schemas.openxmlformats.org/officeDocument/2006/relationships/hyperlink" Target="https://www.lcsc.com/product-detail/Chip-Resistor-Surface-Mount_YAGEO-RC0402FR-07120RL_C114758.html" TargetMode="External"/><Relationship Id="rId119" Type="http://schemas.openxmlformats.org/officeDocument/2006/relationships/hyperlink" Target="https://www.lcsc.com/product-detail/Chip-Resistor-Surface-Mount_YAGEO-RC0402FR-0747KL_C93943.html" TargetMode="External"/><Relationship Id="rId44" Type="http://schemas.openxmlformats.org/officeDocument/2006/relationships/hyperlink" Target="https://www.lcsc.com/product-detail/Multilayer-Ceramic-Capacitors-MLCC-SMD-SMT_YAGEO-CC0402KRX5R7BB104_C106204.html" TargetMode="External"/><Relationship Id="rId60" Type="http://schemas.openxmlformats.org/officeDocument/2006/relationships/hyperlink" Target="https://www.lcsc.com/product-detail/Tantalum-Capacitors_Kyocera-AVX-TAJB107M010RNJ_C7196.html" TargetMode="External"/><Relationship Id="rId65" Type="http://schemas.openxmlformats.org/officeDocument/2006/relationships/hyperlink" Target="https://www.lcsc.com/product-detail/Multilayer-Ceramic-Capacitors-MLCC-SMD-SMT_YAGEO-CC0402KRX7R8BB102_C541372.html" TargetMode="External"/><Relationship Id="rId81" Type="http://schemas.openxmlformats.org/officeDocument/2006/relationships/hyperlink" Target="https://www.lcsc.com/product-detail/USB-Connectors_Amphenol-ICC-10118192-0001LF_C132564.html" TargetMode="External"/><Relationship Id="rId86" Type="http://schemas.openxmlformats.org/officeDocument/2006/relationships/hyperlink" Target="https://www.lcsc.com/product-detail/MOSFETs_Vishay-Intertech-SI1024X-T1-GE3_C86784.html" TargetMode="External"/><Relationship Id="rId130" Type="http://schemas.openxmlformats.org/officeDocument/2006/relationships/hyperlink" Target="https://www.lcsc.com/product-detail/Translators-Level-Shifters_Texas-Instruments-TXB0102DCUT_C2677366.html" TargetMode="External"/><Relationship Id="rId135" Type="http://schemas.openxmlformats.org/officeDocument/2006/relationships/hyperlink" Target="https://www.lcsc.com/product-detail/I-O-Expanders_Texas-Instruments-TCA6424ARGJR_C80692.html" TargetMode="External"/><Relationship Id="rId151" Type="http://schemas.openxmlformats.org/officeDocument/2006/relationships/hyperlink" Target="https://www.lcsc.com/product-detail/Chip-Resistor-Surface-Mount_FOJAN-FRC0603F4752TS_C2933225.html" TargetMode="External"/><Relationship Id="rId156" Type="http://schemas.openxmlformats.org/officeDocument/2006/relationships/hyperlink" Target="https://www.lcsc.com/product-detail/Multilayer-Ceramic-Capacitors-MLCC-SMD-SMT_Murata-Electronics-GJM1555C1H120GB01D_C161305.html" TargetMode="External"/><Relationship Id="rId13" Type="http://schemas.openxmlformats.org/officeDocument/2006/relationships/hyperlink" Target="https://www.lcsc.com/product-detail/DC-Power-Connector_Korean-Hroparts-Elec-DC-053D-25A_C2686352.html" TargetMode="External"/><Relationship Id="rId18" Type="http://schemas.openxmlformats.org/officeDocument/2006/relationships/hyperlink" Target="https://www.lcsc.com/product-detail/Ethernet-Connectors-Modular-Connectors-RJ45-RJ11_HANRUN-Zhongshan-HanRun-Elec-HR911130C_C50933.html" TargetMode="External"/><Relationship Id="rId39" Type="http://schemas.openxmlformats.org/officeDocument/2006/relationships/hyperlink" Target="https://www.epson.co.za/en_ZA/products/options/standard/epson-ba-t500iis%3A-m-t500ii-series%2C-24v/p/9366" TargetMode="External"/><Relationship Id="rId109" Type="http://schemas.openxmlformats.org/officeDocument/2006/relationships/hyperlink" Target="https://www.lcsc.com/product-detail/Chip-Resistor-Surface-Mount_YAGEO-RC0603JR-070RL_C95177.html" TargetMode="External"/><Relationship Id="rId34" Type="http://schemas.openxmlformats.org/officeDocument/2006/relationships/hyperlink" Target="https://www.lcsc.com/product-detail/WiFi-Modules_AMPAK-Tech-AP6256_C5248079.html" TargetMode="External"/><Relationship Id="rId50" Type="http://schemas.openxmlformats.org/officeDocument/2006/relationships/hyperlink" Target="https://www.lcsc.com/product-detail/Multilayer-Ceramic-Capacitors-MLCC-SMD-SMT_TDK-C1005X7R1H104KT000F_C361198.html" TargetMode="External"/><Relationship Id="rId55" Type="http://schemas.openxmlformats.org/officeDocument/2006/relationships/hyperlink" Target="https://www.lcsc.com/product-detail/Multilayer-Ceramic-Capacitors-MLCC-SMD-SMT_YAGEO-CC0402BRNPO9BN3R9_C505474.html" TargetMode="External"/><Relationship Id="rId76" Type="http://schemas.openxmlformats.org/officeDocument/2006/relationships/hyperlink" Target="https://www.lcsc.com/product-detail/Ferrite-Beads_Murata-Electronics-BLM21PG300SN1D_C16903.html" TargetMode="External"/><Relationship Id="rId97" Type="http://schemas.openxmlformats.org/officeDocument/2006/relationships/hyperlink" Target="https://www.lcsc.com/product-detail/Chip-Resistor-Surface-Mount_YAGEO-RT0603BRB07120RL_C860088.html" TargetMode="External"/><Relationship Id="rId104" Type="http://schemas.openxmlformats.org/officeDocument/2006/relationships/hyperlink" Target="https://www.lcsc.com/product-detail/Chip-Resistor-Surface-Mount_YAGEO-RC0603FR-072K7L_C114612.html" TargetMode="External"/><Relationship Id="rId120" Type="http://schemas.openxmlformats.org/officeDocument/2006/relationships/hyperlink" Target="https://www.lcsc.com/product-detail/Chip-Resistor-Surface-Mount_YAGEO-RC0402FR-071K5L_C114759.html" TargetMode="External"/><Relationship Id="rId125" Type="http://schemas.openxmlformats.org/officeDocument/2006/relationships/hyperlink" Target="https://www.lcsc.com/product-detail/RS-span-style-background-color-ff0-232-span-ICs_Texas-Instruments-MAX3232EIDR_C193666.html" TargetMode="External"/><Relationship Id="rId141" Type="http://schemas.openxmlformats.org/officeDocument/2006/relationships/hyperlink" Target="https://www.lcsc.com/product-detail/Multilayer-Ceramic-Capacitors-MLCC-SMD-SMT_Samsung-Electro-Mechanics-CL10A106MO8NQNC_C92487.html" TargetMode="External"/><Relationship Id="rId146" Type="http://schemas.openxmlformats.org/officeDocument/2006/relationships/hyperlink" Target="https://www.lcsc.com/product-detail/Resistor-Networks-Arrays_RALEC-RTA03-4D22R0FTP_C7422178.html" TargetMode="External"/><Relationship Id="rId7" Type="http://schemas.openxmlformats.org/officeDocument/2006/relationships/hyperlink" Target="https://www.lcsc.com/product-detail/Resettable-Fuses_TECHFUSE-SMD0603-050_C69679.html" TargetMode="External"/><Relationship Id="rId71" Type="http://schemas.openxmlformats.org/officeDocument/2006/relationships/hyperlink" Target="https://www.lcsc.com/product-detail/Electrostatic-and-Surge-Protection-TVS-ESD_Diodes-Incorporated-SMBJ33CA-13-F_C135068.html" TargetMode="External"/><Relationship Id="rId92" Type="http://schemas.openxmlformats.org/officeDocument/2006/relationships/hyperlink" Target="https://www.lcsc.com/product-detail/Chip-Resistor-Surface-Mount_YAGEO-RC0402FR-07100KL_C60491.html" TargetMode="External"/><Relationship Id="rId162" Type="http://schemas.openxmlformats.org/officeDocument/2006/relationships/drawing" Target="../drawings/drawing1.xml"/><Relationship Id="rId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29" Type="http://schemas.openxmlformats.org/officeDocument/2006/relationships/hyperlink" Target="https://www.lcsc.com/product-detail/MOSFETs_UMW-Youtai-Semiconductor-Co-Ltd-FDN335N_C347512.html" TargetMode="External"/><Relationship Id="rId24" Type="http://schemas.openxmlformats.org/officeDocument/2006/relationships/hyperlink" Target="https://www.lcsc.com/product-detail/Power-Inductors_YJYCOIN-YSPIT0630A-1R0M_C18236293.html" TargetMode="External"/><Relationship Id="rId40" Type="http://schemas.openxmlformats.org/officeDocument/2006/relationships/hyperlink" Target="https://www.elatec-rfid.com/int/product-detail/twn4-multitech-3-m" TargetMode="External"/><Relationship Id="rId45" Type="http://schemas.openxmlformats.org/officeDocument/2006/relationships/hyperlink" Target="https://www.lcsc.com/product-detail/Multilayer-Ceramic-Capacitors-MLCC-SMD-SMT_YAGEO-CC0402JRNPO9BN101_C106200.html" TargetMode="External"/><Relationship Id="rId66" Type="http://schemas.openxmlformats.org/officeDocument/2006/relationships/hyperlink" Target="https://www.lcsc.com/product-detail/Multilayer-Ceramic-Capacitors-MLCC-SMD-SMT_Walsin-Tech-Corp-0402N270J250CT_C424826.html" TargetMode="External"/><Relationship Id="rId87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110" Type="http://schemas.openxmlformats.org/officeDocument/2006/relationships/hyperlink" Target="https://www.lcsc.com/product-detail/Chip-Resistor-Surface-Mount_YAGEO-RC0402FR-072K2L_C114762.html" TargetMode="External"/><Relationship Id="rId115" Type="http://schemas.openxmlformats.org/officeDocument/2006/relationships/hyperlink" Target="https://www.lcsc.com/product-detail/Chip-Resistor-Surface-Mount_YAGEO-RC0402FR-072K49L_C145071.html" TargetMode="External"/><Relationship Id="rId131" Type="http://schemas.openxmlformats.org/officeDocument/2006/relationships/hyperlink" Target="https://www.lcsc.com/product-detail/USB-Converters_SKYWORKS-SILICON-LABS-CP2102N-A02-GQFN24R_C969151.html" TargetMode="External"/><Relationship Id="rId136" Type="http://schemas.openxmlformats.org/officeDocument/2006/relationships/hyperlink" Target="https://www.lcsc.com/product-detail/Transistor-Output-Optocoupler_Sharp-Microelectronics-PC817X2NIPW_C2840443.html" TargetMode="External"/><Relationship Id="rId157" Type="http://schemas.openxmlformats.org/officeDocument/2006/relationships/hyperlink" Target="https://vi.aliexpress.com/item/1005005545724429.html?spm=a2g0o.productlist.main.21.146759bdcVt93S&amp;algo_pvid=392b6605-44a0-4249-ab27-2dd5166be12a&amp;algo_exp_id=392b6605-44a0-4249-ab27-2dd5166be12a-10&amp;pdp_npi=4%40dis%21AUD%211.98%211.98%21%21%219.38%219.38%21" TargetMode="External"/><Relationship Id="rId61" Type="http://schemas.openxmlformats.org/officeDocument/2006/relationships/hyperlink" Target="https://www.lcsc.com/product-detail/Multilayer-Ceramic-Capacitors-MLCC-SMD-SMT_YAGEO-CC0402KRX5R8BB224_C326836.html" TargetMode="External"/><Relationship Id="rId82" Type="http://schemas.openxmlformats.org/officeDocument/2006/relationships/hyperlink" Target="https://www.lcsc.com/product-detail/FFC-FPC-Connectors_HRS-Hirose-TF31-30S-0-5SH-800_C5137133.html" TargetMode="External"/><Relationship Id="rId152" Type="http://schemas.openxmlformats.org/officeDocument/2006/relationships/hyperlink" Target="https://www.lcsc.com/product-detail/Chip-Resistor-Surface-Mount_YAGEO-RC0402FR-0712KL_C114760.html" TargetMode="External"/><Relationship Id="rId19" Type="http://schemas.openxmlformats.org/officeDocument/2006/relationships/hyperlink" Target="https://www.lcsc.com/product-detail/Wire-To-Board-Connector_HCTL-HC-XH-2A-G_C5341201.html" TargetMode="External"/><Relationship Id="rId14" Type="http://schemas.openxmlformats.org/officeDocument/2006/relationships/hyperlink" Target="https://www.lcsc.com/product-detail/SIM-Card-Connectors_XKB-Connection-XKNANO-113_C381071.html" TargetMode="External"/><Relationship Id="rId30" Type="http://schemas.openxmlformats.org/officeDocument/2006/relationships/hyperlink" Target="https://www.lcsc.com/product-detail/Bipolar-Transistors-BJT_TECH-PUBLIC-MMBT3904M_C2923360.html" TargetMode="External"/><Relationship Id="rId35" Type="http://schemas.openxmlformats.org/officeDocument/2006/relationships/hyperlink" Target="https://www.lcsc.com/product-detail/Temperature-and-Humidity-Sensor_GXCAS-GXHTC3_C2837688.html" TargetMode="External"/><Relationship Id="rId56" Type="http://schemas.openxmlformats.org/officeDocument/2006/relationships/hyperlink" Target="https://www.lcsc.com/product-detail/Multilayer-Ceramic-Capacitors-MLCC-SMD-SMT_Murata-Electronics-GRM1555C1H100JA01D_C76946.html" TargetMode="External"/><Relationship Id="rId77" Type="http://schemas.openxmlformats.org/officeDocument/2006/relationships/hyperlink" Target="https://www.lcsc.com/product-detail/Ferrite-Beads_Murata-Electronics-BLM18PG181SN1D_C82850.html" TargetMode="External"/><Relationship Id="rId100" Type="http://schemas.openxmlformats.org/officeDocument/2006/relationships/hyperlink" Target="https://www.lcsc.com/product-detail/Chip-Resistor-Surface-Mount_YAGEO-RC0402FR-076K8L_C93940.html" TargetMode="External"/><Relationship Id="rId105" Type="http://schemas.openxmlformats.org/officeDocument/2006/relationships/hyperlink" Target="https://www.lcsc.com/product-detail/Chip-Resistor-Surface-Mount_YAGEO-RC0603JR-07330RL_C105879.html" TargetMode="External"/><Relationship Id="rId126" Type="http://schemas.openxmlformats.org/officeDocument/2006/relationships/hyperlink" Target="https://www.lcsc.com/product-detail/Electrostatic-and-Surge-Protection-TVS-ESD_Diodes-Incorporated-DT1240-04LP-7_C444992.html" TargetMode="External"/><Relationship Id="rId147" Type="http://schemas.openxmlformats.org/officeDocument/2006/relationships/hyperlink" Target="https://www.chipsmall.com/Products/MAX20006AFOB-VY-T_30824517.html" TargetMode="External"/><Relationship Id="rId8" Type="http://schemas.openxmlformats.org/officeDocument/2006/relationships/hyperlink" Target="https://www.lcsc.com/product-detail/SD-Card-Memory-Card-Connector_Yuandi-TF-01A_C2889258.html" TargetMode="External"/><Relationship Id="rId51" Type="http://schemas.openxmlformats.org/officeDocument/2006/relationships/hyperlink" Target="https://www.lcsc.com/product-detail/Multilayer-Ceramic-Capacitors-MLCC-SMD-SMT_Murata-Electronics-GRM21BR61H106ME43L_C2190942.html" TargetMode="External"/><Relationship Id="rId72" Type="http://schemas.openxmlformats.org/officeDocument/2006/relationships/hyperlink" Target="https://www.lcsc.com/product-detail/Zener-Diodes_Diodes-Incorporated-BZX84C3V3TS-7-F_C5124989.html" TargetMode="External"/><Relationship Id="rId93" Type="http://schemas.openxmlformats.org/officeDocument/2006/relationships/hyperlink" Target="https://www.lcsc.com/product-detail/Chip-Resistor-Surface-Mount_YAGEO-RC0402FR-074K7L_C105871.html" TargetMode="External"/><Relationship Id="rId98" Type="http://schemas.openxmlformats.org/officeDocument/2006/relationships/hyperlink" Target="https://www.lcsc.com/product-detail/Chip-Resistor-Surface-Mount_YAGEO-RC0402FR-070RL_C106231.html" TargetMode="External"/><Relationship Id="rId121" Type="http://schemas.openxmlformats.org/officeDocument/2006/relationships/hyperlink" Target="https://www.lcsc.com/product-detail/Chip-Resistor-Surface-Mount_YAGEO-RC0402FR-0751KL_C107229.html" TargetMode="External"/><Relationship Id="rId142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25" Type="http://schemas.openxmlformats.org/officeDocument/2006/relationships/hyperlink" Target="https://www.lcsc.com/product-detail/Light-Emitting-Diodes-LED_Foshan-NationStar-Optoelectronics-NCD0603G2_C87326.html" TargetMode="External"/><Relationship Id="rId46" Type="http://schemas.openxmlformats.org/officeDocument/2006/relationships/hyperlink" Target="https://www.lcsc.com/product-detail/Multilayer-Ceramic-Capacitors-MLCC-SMD-SMT_YAGEO-CC1206KKX7RDBB102_C23631.html" TargetMode="External"/><Relationship Id="rId67" Type="http://schemas.openxmlformats.org/officeDocument/2006/relationships/hyperlink" Target="https://www.lcsc.com/product-detail/Multilayer-Ceramic-Capacitors-MLCC-SMD-SMT_YAGEO-CC0402KRX7R9BB153_C114405.html" TargetMode="External"/><Relationship Id="rId116" Type="http://schemas.openxmlformats.org/officeDocument/2006/relationships/hyperlink" Target="https://www.lcsc.com/product-detail/Chip-Resistor-Surface-Mount_YAGEO-RC0402FR-0710KL_C60490.html" TargetMode="External"/><Relationship Id="rId137" Type="http://schemas.openxmlformats.org/officeDocument/2006/relationships/hyperlink" Target="https://www.lcsc.com/product-detail/Buffer-Driver-Transceiver_Nexperia-74LVC1G17GV-125_C6076.html" TargetMode="External"/><Relationship Id="rId158" Type="http://schemas.openxmlformats.org/officeDocument/2006/relationships/hyperlink" Target="https://www.lcsc.com/product-detail/Electrostatic-and-Surge-Protection-TVS-ESD_TECH-PUBLIC-CDSOT23-SM712_C5122012.html" TargetMode="External"/><Relationship Id="rId20" Type="http://schemas.openxmlformats.org/officeDocument/2006/relationships/hyperlink" Target="https://www.lcsc.com/product-detail/Wire-To-Board-Connector_HCTL-XH-4A_C2908602.html" TargetMode="External"/><Relationship Id="rId41" Type="http://schemas.openxmlformats.org/officeDocument/2006/relationships/hyperlink" Target="https://www.amazon.com/Honeywell-1900G-HD-Density-Barcode-Scanner/dp/B00LRAO3DC" TargetMode="External"/><Relationship Id="rId62" Type="http://schemas.openxmlformats.org/officeDocument/2006/relationships/hyperlink" Target="https://www.lcsc.com/product-detail/Multilayer-Ceramic-Capacitors-MLCC-SMD-SMT_YAGEO-CC0402MRX5R6BB106_C962143.html" TargetMode="External"/><Relationship Id="rId83" Type="http://schemas.openxmlformats.org/officeDocument/2006/relationships/hyperlink" Target="https://www.lcsc.com/product-detail/Signal-Relays_Omron-Electronics-G6K-2F-Y-TR-DC5_C47190.html" TargetMode="External"/><Relationship Id="rId88" Type="http://schemas.openxmlformats.org/officeDocument/2006/relationships/hyperlink" Target="https://www.lcsc.com/product-detail/MOSFETs_KUU-2SK3018_C2944164.html" TargetMode="External"/><Relationship Id="rId111" Type="http://schemas.openxmlformats.org/officeDocument/2006/relationships/hyperlink" Target="https://www.lcsc.com/product-detail/Chip-Resistor-Surface-Mount_YAGEO-RC0402FR-07100RL_C106232.html" TargetMode="External"/><Relationship Id="rId132" Type="http://schemas.openxmlformats.org/officeDocument/2006/relationships/hyperlink" Target="https://www.lcsc.com/product-detail/Translators-Level-Shifters_Texas-Instruments-TXS0102DCUR_C53434.html" TargetMode="External"/><Relationship Id="rId153" Type="http://schemas.openxmlformats.org/officeDocument/2006/relationships/hyperlink" Target="https://www.lcsc.com/product-detail/Antennas_BAT-WIRELESS-BWGSMJWX105-7KJ_C497021.html" TargetMode="External"/><Relationship Id="rId15" Type="http://schemas.openxmlformats.org/officeDocument/2006/relationships/hyperlink" Target="https://www.lcsc.com/product-detail/Pluggable-System-Terminal-Block_DORABO-DB2ERC-3-5-3P-GN_C430551.html" TargetMode="External"/><Relationship Id="rId36" Type="http://schemas.openxmlformats.org/officeDocument/2006/relationships/hyperlink" Target="https://www.lcsc.com/product-detail/Darlington-Transistor-Arrays_Mixic-ULN2003A_C181730.html" TargetMode="External"/><Relationship Id="rId57" Type="http://schemas.openxmlformats.org/officeDocument/2006/relationships/hyperlink" Target="https://www.lcsc.com/product-detail/Tantalum-Capacitors_Kyocera-AVX-TAJE477K010RNJ_C7234.html" TargetMode="External"/><Relationship Id="rId106" Type="http://schemas.openxmlformats.org/officeDocument/2006/relationships/hyperlink" Target="https://www.lcsc.com/product-detail/Chip-Resistor-Surface-Mount_YAGEO-RC0402FR-0739KL_C137995.html" TargetMode="External"/><Relationship Id="rId127" Type="http://schemas.openxmlformats.org/officeDocument/2006/relationships/hyperlink" Target="https://www.lcsc.com/product-detail/Interface-Specialized_Texas-Instruments-TPD12S016PWR_C201665.html" TargetMode="External"/><Relationship Id="rId10" Type="http://schemas.openxmlformats.org/officeDocument/2006/relationships/hyperlink" Target="https://www.lcsc.com/product-detail/Wire-To-Board-Connector_HCTL-HC-XH-3A-R_C7466690.html" TargetMode="External"/><Relationship Id="rId31" Type="http://schemas.openxmlformats.org/officeDocument/2006/relationships/hyperlink" Target="https://www.lcsc.com/product-detail/Tactile-Switches_XKB-Connection-TS-1185EC-C-D-B_C318893.html" TargetMode="External"/><Relationship Id="rId52" Type="http://schemas.openxmlformats.org/officeDocument/2006/relationships/hyperlink" Target="https://www.lcsc.com/product-detail/Multilayer-Ceramic-Capacitors-MLCC-SMD-SMT_Murata-Electronics-GRM31CR61E476ME44L_C403725.html" TargetMode="External"/><Relationship Id="rId73" Type="http://schemas.openxmlformats.org/officeDocument/2006/relationships/hyperlink" Target="https://www.lcsc.com/product-detail/Zener-Diodes_onsemi-MMSZ5231BT1G_C66198.html" TargetMode="External"/><Relationship Id="rId78" Type="http://schemas.openxmlformats.org/officeDocument/2006/relationships/hyperlink" Target="https://www.lcsc.com/product-detail/Ferrite-Beads_Murata-Electronics-BLM31KN102SN1L_C560056.html" TargetMode="External"/><Relationship Id="rId94" Type="http://schemas.openxmlformats.org/officeDocument/2006/relationships/hyperlink" Target="https://www.lcsc.com/product-detail/Chip-Resistor-Surface-Mount_YAGEO-RC0402FR-071KL_C106235.html" TargetMode="External"/><Relationship Id="rId99" Type="http://schemas.openxmlformats.org/officeDocument/2006/relationships/hyperlink" Target="https://www.lcsc.com/product-detail/Resistor-Networks-Arrays_YAGEO-YC164-FR-0710KL_C110924.html" TargetMode="External"/><Relationship Id="rId101" Type="http://schemas.openxmlformats.org/officeDocument/2006/relationships/hyperlink" Target="https://www.lcsc.com/product-detail/Chip-Resistor-Surface-Mount_YAGEO-RT0402FRE07510RL_C854355.html" TargetMode="External"/><Relationship Id="rId122" Type="http://schemas.openxmlformats.org/officeDocument/2006/relationships/hyperlink" Target="https://www.lcsc.com/product-detail/Chip-Resistor-Surface-Mount_YAGEO-RC0402FR-07499RL_C137970.html" TargetMode="External"/><Relationship Id="rId143" Type="http://schemas.openxmlformats.org/officeDocument/2006/relationships/hyperlink" Target="https://www.lcsc.com/product-detail/Light-Emitting-Diodes-LED_Yongyu-Photoelectric-SZYY0402Y_C434450.html" TargetMode="External"/><Relationship Id="rId148" Type="http://schemas.openxmlformats.org/officeDocument/2006/relationships/hyperlink" Target="https://www.chipsmall.com/Products/MAX20008AFOC-VY-T_30824765.html" TargetMode="External"/><Relationship Id="rId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9" Type="http://schemas.openxmlformats.org/officeDocument/2006/relationships/hyperlink" Target="https://www.lcsc.com/product-detail/Card-Edge-Connectors_FOXCONN-AS0B826-S78B-7H_C426232.html" TargetMode="External"/><Relationship Id="rId26" Type="http://schemas.openxmlformats.org/officeDocument/2006/relationships/hyperlink" Target="https://www.lcsc.com/product-detail/Light-Emitting-Diodes-LED_Foshan-NationStar-Optoelectronics-NCD0603R3_C3151730.html" TargetMode="External"/><Relationship Id="rId47" Type="http://schemas.openxmlformats.org/officeDocument/2006/relationships/hyperlink" Target="https://www.lcsc.com/product-detail/Multilayer-Ceramic-Capacitors-MLCC-SMD-SMT_YAGEO-CC0402KRX5R7BB105_C325464.html" TargetMode="External"/><Relationship Id="rId68" Type="http://schemas.openxmlformats.org/officeDocument/2006/relationships/hyperlink" Target="https://www.lcsc.com/product-detail/Multilayer-Ceramic-Capacitors-MLCC-SMD-SMT_YAGEO-CC0603KRX7R0BB104_C113803.html" TargetMode="External"/><Relationship Id="rId89" Type="http://schemas.openxmlformats.org/officeDocument/2006/relationships/hyperlink" Target="https://www.lcsc.com/product-detail/MOSFETs_Alpha-Omega-Semicon-AOSS21311C_C3280149.html" TargetMode="External"/><Relationship Id="rId112" Type="http://schemas.openxmlformats.org/officeDocument/2006/relationships/hyperlink" Target="https://www.lcsc.com/product-detail/Chip-Resistor-Surface-Mount_YAGEO-RC0402FR-0715KL_C114761.html" TargetMode="External"/><Relationship Id="rId133" Type="http://schemas.openxmlformats.org/officeDocument/2006/relationships/hyperlink" Target="https://www.lcsc.com/product-detail/Linear-Voltage-Regulators-LDO_Microchip-Tech-MIC29302WU-TR_C11149.html" TargetMode="External"/><Relationship Id="rId154" Type="http://schemas.openxmlformats.org/officeDocument/2006/relationships/hyperlink" Target="https://www.lcsc.com/product-detail/Chip-Resistor-Surface-Mount_KOA-Speer-Elec-RK73B1ETTP182J_C131527.html" TargetMode="External"/><Relationship Id="rId16" Type="http://schemas.openxmlformats.org/officeDocument/2006/relationships/hyperlink" Target="https://www.lcsc.com/product-detail/Pin-Headers_HCTL-PZ254-2-10-S_C3294468.html" TargetMode="External"/><Relationship Id="rId37" Type="http://schemas.openxmlformats.org/officeDocument/2006/relationships/hyperlink" Target="https://www.lcsc.com/product-detail/Ethernet-Transceivers_Realtek-Semicon-RTL8211F-CG_C187932.html" TargetMode="External"/><Relationship Id="rId58" Type="http://schemas.openxmlformats.org/officeDocument/2006/relationships/hyperlink" Target="https://www.lcsc.com/product-detail/Multilayer-Ceramic-Capacitors-MLCC-SMD-SMT_YAGEO-CC0603KRX5R9BB104_C110022.html" TargetMode="External"/><Relationship Id="rId79" Type="http://schemas.openxmlformats.org/officeDocument/2006/relationships/hyperlink" Target="https://www.lcsc.com/product-detail/HDMI-Connectors_Amphenol-ICC-10029449-111RLF_C427307.html" TargetMode="External"/><Relationship Id="rId102" Type="http://schemas.openxmlformats.org/officeDocument/2006/relationships/hyperlink" Target="https://www.lcsc.com/product-detail/Chip-Resistor-Surface-Mount_YAGEO-RC0603FR-0722K1L_C137768.html" TargetMode="External"/><Relationship Id="rId123" Type="http://schemas.openxmlformats.org/officeDocument/2006/relationships/hyperlink" Target="https://www.lcsc.com/product-detail/Chip-Resistor-Surface-Mount_YAGEO-RT0402BRD0722K1L_C852648.html" TargetMode="External"/><Relationship Id="rId144" Type="http://schemas.openxmlformats.org/officeDocument/2006/relationships/hyperlink" Target="https://www.lcsc.com/product-detail/Light-Emitting-Diodes-LED_XINGLIGHT-XL-1005SURC_C965790.html" TargetMode="External"/><Relationship Id="rId90" Type="http://schemas.openxmlformats.org/officeDocument/2006/relationships/hyperlink" Target="https://www.lcsc.com/product-detail/Bipolar-Transistors-BJT_Diodes-Incorporated-MMBT3904T-7-F_C239187.html" TargetMode="External"/><Relationship Id="rId27" Type="http://schemas.openxmlformats.org/officeDocument/2006/relationships/hyperlink" Target="https://www.lcsc.com/product-detail/Light-Emitting-Diodes-LED_Foshan-NationStar-Optoelectronics-NCD0603Y2_C89811.html" TargetMode="External"/><Relationship Id="rId48" Type="http://schemas.openxmlformats.org/officeDocument/2006/relationships/hyperlink" Target="https://www.lcsc.com/product-detail/Multilayer-Ceramic-Capacitors-MLCC-SMD-SMT_Murata-Electronics-GRM21BR61H475KE51L_C162420.html" TargetMode="External"/><Relationship Id="rId69" Type="http://schemas.openxmlformats.org/officeDocument/2006/relationships/hyperlink" Target="https://www.lcsc.com/product-detail/Multilayer-Ceramic-Capacitors-MLCC-SMD-SMT_YAGEO-CC0603JRNPO8BN102_C309470.html" TargetMode="External"/><Relationship Id="rId113" Type="http://schemas.openxmlformats.org/officeDocument/2006/relationships/hyperlink" Target="https://www.lcsc.com/product-detail/Chip-Resistor-Surface-Mount_YAGEO-RC0402FR-0720KL_C93942.html" TargetMode="External"/><Relationship Id="rId134" Type="http://schemas.openxmlformats.org/officeDocument/2006/relationships/hyperlink" Target="https://www.lcsc.com/product-detail/Linear-Voltage-Regulators-LDO_Texas-Instruments-LM1117MPX-1-8-NOPB_C9660.html" TargetMode="External"/><Relationship Id="rId80" Type="http://schemas.openxmlformats.org/officeDocument/2006/relationships/hyperlink" Target="https://www.lcsc.com/product-detail/RF-Connectors-Coaxial-Connectors_HRS-Hirose-U-FL-R-SMT-1-80_C88374.html" TargetMode="External"/><Relationship Id="rId155" Type="http://schemas.openxmlformats.org/officeDocument/2006/relationships/hyperlink" Target="https://www.lcsc.com/product-detail/Common-Mode-Filters_TDK-MCZ1210CH900L2TA0G_C30768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86"/>
  <sheetViews>
    <sheetView tabSelected="1" topLeftCell="A67" zoomScaleNormal="100" workbookViewId="0">
      <selection activeCell="Q174" sqref="Q174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7.2851562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  <col min="21" max="21" width="36" customWidth="1"/>
    <col min="22" max="22" width="33.42578125" customWidth="1"/>
    <col min="23" max="23" width="8.7109375" customWidth="1"/>
  </cols>
  <sheetData>
    <row r="1" spans="1:22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  <c r="U1" s="2"/>
      <c r="V1" s="2"/>
    </row>
    <row r="2" spans="1:22" ht="32.25" thickBot="1" x14ac:dyDescent="0.3">
      <c r="A2" s="1"/>
      <c r="B2" s="7"/>
      <c r="C2" s="13"/>
      <c r="D2" s="4" t="s">
        <v>0</v>
      </c>
      <c r="E2" s="4"/>
      <c r="F2" s="41" t="s">
        <v>779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75"/>
    </row>
    <row r="3" spans="1:22" ht="16.5" thickBot="1" x14ac:dyDescent="0.3">
      <c r="A3" s="1"/>
      <c r="B3" s="8"/>
      <c r="C3" s="27"/>
      <c r="D3" s="40" t="s">
        <v>1</v>
      </c>
      <c r="E3" s="28"/>
      <c r="F3" s="42" t="s">
        <v>780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76"/>
    </row>
    <row r="4" spans="1:22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76"/>
    </row>
    <row r="5" spans="1:22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76"/>
    </row>
    <row r="6" spans="1:22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77"/>
    </row>
    <row r="7" spans="1:22" ht="15.75" thickBot="1" x14ac:dyDescent="0.3">
      <c r="A7" s="1"/>
      <c r="B7" s="12" t="s">
        <v>2</v>
      </c>
      <c r="C7" s="12" t="s">
        <v>5</v>
      </c>
      <c r="D7" s="12" t="s">
        <v>41</v>
      </c>
      <c r="E7" s="12" t="s">
        <v>191</v>
      </c>
      <c r="F7" s="12" t="s">
        <v>336</v>
      </c>
      <c r="G7" s="12" t="s">
        <v>410</v>
      </c>
      <c r="H7" s="12" t="s">
        <v>529</v>
      </c>
      <c r="I7" s="12" t="s">
        <v>781</v>
      </c>
      <c r="J7" s="12" t="s">
        <v>592</v>
      </c>
      <c r="K7" s="12" t="s">
        <v>782</v>
      </c>
      <c r="L7" s="12" t="s">
        <v>778</v>
      </c>
      <c r="M7" s="12" t="s">
        <v>783</v>
      </c>
      <c r="N7" s="12" t="s">
        <v>787</v>
      </c>
      <c r="O7" s="12" t="s">
        <v>784</v>
      </c>
      <c r="P7" s="59" t="s">
        <v>788</v>
      </c>
      <c r="Q7" s="12" t="s">
        <v>789</v>
      </c>
      <c r="R7" s="12" t="s">
        <v>785</v>
      </c>
      <c r="S7" s="12" t="s">
        <v>786</v>
      </c>
    </row>
    <row r="8" spans="1:22" ht="180" x14ac:dyDescent="0.25">
      <c r="A8" s="1"/>
      <c r="B8" s="16">
        <f>ROW(B8) - ROW($B$7)</f>
        <v>1</v>
      </c>
      <c r="C8" s="23" t="s">
        <v>6</v>
      </c>
      <c r="D8" s="14" t="s">
        <v>42</v>
      </c>
      <c r="E8" s="14" t="s">
        <v>192</v>
      </c>
      <c r="F8" s="14" t="s">
        <v>337</v>
      </c>
      <c r="G8" s="14" t="s">
        <v>411</v>
      </c>
      <c r="H8" s="14" t="s">
        <v>530</v>
      </c>
      <c r="I8" s="14" t="s">
        <v>790</v>
      </c>
      <c r="J8" s="14" t="s">
        <v>593</v>
      </c>
      <c r="K8" s="43" t="s">
        <v>722</v>
      </c>
      <c r="L8" s="14">
        <v>97</v>
      </c>
      <c r="M8" s="14">
        <f>L8*3</f>
        <v>291</v>
      </c>
      <c r="N8" s="14">
        <v>300</v>
      </c>
      <c r="O8" s="56" t="s">
        <v>814</v>
      </c>
      <c r="P8" s="60">
        <v>1E-3</v>
      </c>
      <c r="Q8" s="57">
        <f>P8*N8</f>
        <v>0.3</v>
      </c>
      <c r="R8" s="14"/>
      <c r="S8" s="20"/>
    </row>
    <row r="9" spans="1:22" x14ac:dyDescent="0.25">
      <c r="A9" s="1"/>
      <c r="B9" s="17">
        <f t="shared" ref="B9:B165" si="0">ROW(B9) - ROW($B$7)</f>
        <v>2</v>
      </c>
      <c r="C9" s="23" t="s">
        <v>6</v>
      </c>
      <c r="D9" s="21" t="s">
        <v>43</v>
      </c>
      <c r="E9" s="21" t="s">
        <v>193</v>
      </c>
      <c r="F9" s="21" t="s">
        <v>337</v>
      </c>
      <c r="G9" s="21" t="s">
        <v>412</v>
      </c>
      <c r="H9" s="21" t="s">
        <v>530</v>
      </c>
      <c r="I9" s="14" t="s">
        <v>790</v>
      </c>
      <c r="J9" s="21" t="s">
        <v>594</v>
      </c>
      <c r="K9" s="48" t="s">
        <v>723</v>
      </c>
      <c r="L9" s="21">
        <v>2</v>
      </c>
      <c r="M9" s="14">
        <f t="shared" ref="M9:M72" si="1">L9*3</f>
        <v>6</v>
      </c>
      <c r="N9" s="21">
        <v>100</v>
      </c>
      <c r="O9" s="56" t="s">
        <v>814</v>
      </c>
      <c r="P9" s="60">
        <v>1E-3</v>
      </c>
      <c r="Q9" s="58">
        <f t="shared" ref="Q9" si="2">P9*N9</f>
        <v>0.1</v>
      </c>
      <c r="R9" s="21"/>
      <c r="S9" s="21"/>
    </row>
    <row r="10" spans="1:22" x14ac:dyDescent="0.25">
      <c r="A10" s="1"/>
      <c r="B10" s="16">
        <f>ROW(B10) - ROW($B$7)</f>
        <v>3</v>
      </c>
      <c r="C10" s="23" t="s">
        <v>6</v>
      </c>
      <c r="D10" s="14" t="s">
        <v>44</v>
      </c>
      <c r="E10" s="14" t="s">
        <v>194</v>
      </c>
      <c r="F10" s="14" t="s">
        <v>338</v>
      </c>
      <c r="G10" s="14" t="s">
        <v>413</v>
      </c>
      <c r="H10" s="14" t="s">
        <v>530</v>
      </c>
      <c r="I10" s="14" t="s">
        <v>790</v>
      </c>
      <c r="J10" s="14" t="s">
        <v>595</v>
      </c>
      <c r="K10" s="43" t="s">
        <v>724</v>
      </c>
      <c r="L10" s="14">
        <v>7</v>
      </c>
      <c r="M10" s="14">
        <f t="shared" si="1"/>
        <v>21</v>
      </c>
      <c r="N10" s="14">
        <v>50</v>
      </c>
      <c r="O10" s="56" t="s">
        <v>814</v>
      </c>
      <c r="P10" s="60">
        <v>1.1299999999999999E-2</v>
      </c>
      <c r="Q10" s="57">
        <f>P10*N10</f>
        <v>0.56499999999999995</v>
      </c>
      <c r="R10" s="14"/>
      <c r="S10" s="20"/>
    </row>
    <row r="11" spans="1:22" x14ac:dyDescent="0.25">
      <c r="A11" s="1"/>
      <c r="B11" s="17">
        <f t="shared" si="0"/>
        <v>4</v>
      </c>
      <c r="C11" s="23" t="s">
        <v>6</v>
      </c>
      <c r="D11" s="21" t="s">
        <v>45</v>
      </c>
      <c r="E11" s="21" t="s">
        <v>195</v>
      </c>
      <c r="F11" s="21" t="s">
        <v>337</v>
      </c>
      <c r="G11" s="21" t="s">
        <v>414</v>
      </c>
      <c r="H11" s="21" t="s">
        <v>530</v>
      </c>
      <c r="I11" s="14" t="s">
        <v>790</v>
      </c>
      <c r="J11" s="21" t="s">
        <v>596</v>
      </c>
      <c r="K11" s="48" t="s">
        <v>725</v>
      </c>
      <c r="L11" s="21">
        <v>4</v>
      </c>
      <c r="M11" s="14">
        <f t="shared" si="1"/>
        <v>12</v>
      </c>
      <c r="N11" s="21">
        <v>100</v>
      </c>
      <c r="O11" s="56" t="s">
        <v>814</v>
      </c>
      <c r="P11" s="60">
        <v>3.8E-3</v>
      </c>
      <c r="Q11" s="58">
        <f t="shared" ref="Q11" si="3">P11*N11</f>
        <v>0.38</v>
      </c>
      <c r="R11" s="21"/>
      <c r="S11" s="21"/>
    </row>
    <row r="12" spans="1:22" x14ac:dyDescent="0.25">
      <c r="A12" s="1"/>
      <c r="B12" s="16">
        <f>ROW(B12) - ROW($B$7)</f>
        <v>5</v>
      </c>
      <c r="C12" s="23" t="s">
        <v>6</v>
      </c>
      <c r="D12" s="14" t="s">
        <v>46</v>
      </c>
      <c r="E12" s="14" t="s">
        <v>196</v>
      </c>
      <c r="F12" s="14" t="s">
        <v>339</v>
      </c>
      <c r="G12" s="45" t="s">
        <v>415</v>
      </c>
      <c r="H12" s="14" t="s">
        <v>530</v>
      </c>
      <c r="I12" s="14" t="s">
        <v>834</v>
      </c>
      <c r="J12" s="14" t="s">
        <v>833</v>
      </c>
      <c r="K12" s="43" t="s">
        <v>726</v>
      </c>
      <c r="L12" s="14">
        <v>4</v>
      </c>
      <c r="M12" s="14">
        <f t="shared" si="1"/>
        <v>12</v>
      </c>
      <c r="N12" s="14">
        <v>50</v>
      </c>
      <c r="O12" s="56" t="s">
        <v>814</v>
      </c>
      <c r="P12" s="60">
        <v>1.2500000000000001E-2</v>
      </c>
      <c r="Q12" s="57">
        <f>P12*N12</f>
        <v>0.625</v>
      </c>
      <c r="R12" s="14"/>
      <c r="S12" s="55"/>
    </row>
    <row r="13" spans="1:22" x14ac:dyDescent="0.25">
      <c r="A13" s="1"/>
      <c r="B13" s="17">
        <f t="shared" si="0"/>
        <v>6</v>
      </c>
      <c r="C13" s="23" t="s">
        <v>6</v>
      </c>
      <c r="D13" s="21" t="s">
        <v>47</v>
      </c>
      <c r="E13" s="21" t="s">
        <v>197</v>
      </c>
      <c r="F13" s="21" t="s">
        <v>340</v>
      </c>
      <c r="G13" s="21" t="s">
        <v>416</v>
      </c>
      <c r="H13" s="21" t="s">
        <v>531</v>
      </c>
      <c r="I13" s="21" t="s">
        <v>790</v>
      </c>
      <c r="J13" s="21" t="s">
        <v>597</v>
      </c>
      <c r="K13" s="48" t="s">
        <v>727</v>
      </c>
      <c r="L13" s="21">
        <v>3</v>
      </c>
      <c r="M13" s="14">
        <f t="shared" si="1"/>
        <v>9</v>
      </c>
      <c r="N13" s="21">
        <v>10</v>
      </c>
      <c r="O13" s="56" t="s">
        <v>814</v>
      </c>
      <c r="P13" s="60">
        <v>3.78E-2</v>
      </c>
      <c r="Q13" s="58">
        <f t="shared" ref="Q13" si="4">P13*N13</f>
        <v>0.378</v>
      </c>
      <c r="R13" s="21"/>
      <c r="S13" s="21"/>
    </row>
    <row r="14" spans="1:22" x14ac:dyDescent="0.25">
      <c r="A14" s="1"/>
      <c r="B14" s="16">
        <f>ROW(B14) - ROW($B$7)</f>
        <v>7</v>
      </c>
      <c r="C14" s="23" t="s">
        <v>6</v>
      </c>
      <c r="D14" s="14" t="s">
        <v>48</v>
      </c>
      <c r="E14" s="14" t="s">
        <v>198</v>
      </c>
      <c r="F14" s="14" t="s">
        <v>337</v>
      </c>
      <c r="G14" s="14" t="s">
        <v>417</v>
      </c>
      <c r="H14" s="14" t="s">
        <v>530</v>
      </c>
      <c r="I14" s="21" t="s">
        <v>790</v>
      </c>
      <c r="J14" s="14" t="s">
        <v>598</v>
      </c>
      <c r="K14" s="43" t="s">
        <v>725</v>
      </c>
      <c r="L14" s="14">
        <v>4</v>
      </c>
      <c r="M14" s="14">
        <f t="shared" si="1"/>
        <v>12</v>
      </c>
      <c r="N14" s="14">
        <v>100</v>
      </c>
      <c r="O14" s="56" t="s">
        <v>814</v>
      </c>
      <c r="P14" s="60">
        <v>7.0000000000000001E-3</v>
      </c>
      <c r="Q14" s="57">
        <f>P14*N14</f>
        <v>0.70000000000000007</v>
      </c>
      <c r="R14" s="14"/>
      <c r="S14" s="20"/>
    </row>
    <row r="15" spans="1:22" ht="24" x14ac:dyDescent="0.25">
      <c r="A15" s="1"/>
      <c r="B15" s="17">
        <f t="shared" si="0"/>
        <v>8</v>
      </c>
      <c r="C15" s="23" t="s">
        <v>6</v>
      </c>
      <c r="D15" s="21" t="s">
        <v>49</v>
      </c>
      <c r="E15" s="21" t="s">
        <v>199</v>
      </c>
      <c r="F15" s="21" t="s">
        <v>341</v>
      </c>
      <c r="G15" s="21" t="s">
        <v>418</v>
      </c>
      <c r="H15" s="21" t="s">
        <v>532</v>
      </c>
      <c r="I15" s="21" t="s">
        <v>790</v>
      </c>
      <c r="J15" s="21" t="s">
        <v>599</v>
      </c>
      <c r="K15" s="48" t="s">
        <v>722</v>
      </c>
      <c r="L15" s="21">
        <v>13</v>
      </c>
      <c r="M15" s="14">
        <f t="shared" si="1"/>
        <v>39</v>
      </c>
      <c r="N15" s="21">
        <v>50</v>
      </c>
      <c r="O15" s="56" t="s">
        <v>814</v>
      </c>
      <c r="P15" s="60">
        <v>1.2500000000000001E-2</v>
      </c>
      <c r="Q15" s="58">
        <f t="shared" ref="Q15" si="5">P15*N15</f>
        <v>0.625</v>
      </c>
      <c r="R15" s="21"/>
      <c r="S15" s="21"/>
    </row>
    <row r="16" spans="1:22" x14ac:dyDescent="0.25">
      <c r="A16" s="1"/>
      <c r="B16" s="16">
        <f>ROW(B16) - ROW($B$7)</f>
        <v>9</v>
      </c>
      <c r="C16" s="23" t="s">
        <v>6</v>
      </c>
      <c r="D16" s="14" t="s">
        <v>50</v>
      </c>
      <c r="E16" s="14" t="s">
        <v>200</v>
      </c>
      <c r="F16" s="14" t="s">
        <v>340</v>
      </c>
      <c r="G16" s="14" t="s">
        <v>419</v>
      </c>
      <c r="H16" s="14" t="s">
        <v>531</v>
      </c>
      <c r="I16" s="21" t="s">
        <v>790</v>
      </c>
      <c r="J16" s="14" t="s">
        <v>600</v>
      </c>
      <c r="K16" s="43" t="s">
        <v>726</v>
      </c>
      <c r="L16" s="14">
        <v>4</v>
      </c>
      <c r="M16" s="14">
        <f t="shared" si="1"/>
        <v>12</v>
      </c>
      <c r="N16" s="14">
        <v>15</v>
      </c>
      <c r="O16" s="56" t="s">
        <v>814</v>
      </c>
      <c r="P16" s="60">
        <v>0.1429</v>
      </c>
      <c r="Q16" s="57">
        <f>P16*N16</f>
        <v>2.1435</v>
      </c>
      <c r="R16" s="14"/>
      <c r="S16" s="20"/>
    </row>
    <row r="17" spans="1:19" x14ac:dyDescent="0.25">
      <c r="A17" s="1"/>
      <c r="B17" s="17">
        <f t="shared" si="0"/>
        <v>10</v>
      </c>
      <c r="C17" s="23" t="s">
        <v>6</v>
      </c>
      <c r="D17" s="21" t="s">
        <v>51</v>
      </c>
      <c r="E17" s="21" t="s">
        <v>201</v>
      </c>
      <c r="F17" s="21" t="s">
        <v>338</v>
      </c>
      <c r="G17" s="21" t="s">
        <v>420</v>
      </c>
      <c r="H17" s="21" t="s">
        <v>531</v>
      </c>
      <c r="I17" s="21" t="s">
        <v>790</v>
      </c>
      <c r="J17" s="21" t="s">
        <v>601</v>
      </c>
      <c r="K17" s="48" t="s">
        <v>728</v>
      </c>
      <c r="L17" s="21">
        <v>4</v>
      </c>
      <c r="M17" s="14">
        <f t="shared" si="1"/>
        <v>12</v>
      </c>
      <c r="N17" s="21">
        <v>15</v>
      </c>
      <c r="O17" s="56" t="s">
        <v>814</v>
      </c>
      <c r="P17" s="60">
        <v>0.28210000000000002</v>
      </c>
      <c r="Q17" s="58">
        <f t="shared" ref="Q17" si="6">P17*N17</f>
        <v>4.2315000000000005</v>
      </c>
      <c r="R17" s="21"/>
      <c r="S17" s="21"/>
    </row>
    <row r="18" spans="1:19" x14ac:dyDescent="0.25">
      <c r="A18" s="1"/>
      <c r="B18" s="16">
        <f>ROW(B18) - ROW($B$7)</f>
        <v>11</v>
      </c>
      <c r="C18" s="23" t="s">
        <v>6</v>
      </c>
      <c r="D18" s="14" t="s">
        <v>52</v>
      </c>
      <c r="E18" s="14" t="s">
        <v>202</v>
      </c>
      <c r="F18" s="14" t="s">
        <v>337</v>
      </c>
      <c r="G18" s="14" t="s">
        <v>421</v>
      </c>
      <c r="H18" s="14" t="s">
        <v>531</v>
      </c>
      <c r="I18" s="21" t="s">
        <v>790</v>
      </c>
      <c r="J18" s="14" t="s">
        <v>602</v>
      </c>
      <c r="K18" s="43" t="s">
        <v>729</v>
      </c>
      <c r="L18" s="14">
        <v>2</v>
      </c>
      <c r="M18" s="14">
        <f t="shared" si="1"/>
        <v>6</v>
      </c>
      <c r="N18" s="14">
        <v>50</v>
      </c>
      <c r="O18" s="56" t="s">
        <v>814</v>
      </c>
      <c r="P18" s="60">
        <v>1.5100000000000001E-2</v>
      </c>
      <c r="Q18" s="57">
        <f>P18*N18</f>
        <v>0.755</v>
      </c>
      <c r="R18" s="14"/>
      <c r="S18" s="20"/>
    </row>
    <row r="19" spans="1:19" x14ac:dyDescent="0.25">
      <c r="A19" s="1"/>
      <c r="B19" s="17">
        <f t="shared" si="0"/>
        <v>12</v>
      </c>
      <c r="C19" s="23" t="s">
        <v>6</v>
      </c>
      <c r="D19" s="21" t="s">
        <v>53</v>
      </c>
      <c r="E19" s="21" t="s">
        <v>203</v>
      </c>
      <c r="F19" s="21" t="s">
        <v>337</v>
      </c>
      <c r="G19" s="21" t="s">
        <v>422</v>
      </c>
      <c r="H19" s="21" t="s">
        <v>530</v>
      </c>
      <c r="I19" s="21" t="s">
        <v>790</v>
      </c>
      <c r="J19" s="21" t="s">
        <v>603</v>
      </c>
      <c r="K19" s="48" t="s">
        <v>730</v>
      </c>
      <c r="L19" s="21">
        <v>2</v>
      </c>
      <c r="M19" s="14">
        <f t="shared" si="1"/>
        <v>6</v>
      </c>
      <c r="N19" s="21">
        <v>100</v>
      </c>
      <c r="O19" s="56" t="s">
        <v>814</v>
      </c>
      <c r="P19" s="60">
        <v>1.1000000000000001E-3</v>
      </c>
      <c r="Q19" s="58">
        <f t="shared" ref="Q19" si="7">P19*N19</f>
        <v>0.11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6</v>
      </c>
      <c r="D20" s="14" t="s">
        <v>54</v>
      </c>
      <c r="E20" s="14" t="s">
        <v>204</v>
      </c>
      <c r="F20" s="14" t="s">
        <v>337</v>
      </c>
      <c r="G20" s="14" t="s">
        <v>423</v>
      </c>
      <c r="H20" s="14" t="s">
        <v>530</v>
      </c>
      <c r="I20" s="21" t="s">
        <v>790</v>
      </c>
      <c r="J20" s="14" t="s">
        <v>604</v>
      </c>
      <c r="K20" s="43" t="s">
        <v>731</v>
      </c>
      <c r="L20" s="14">
        <v>2</v>
      </c>
      <c r="M20" s="14">
        <f t="shared" si="1"/>
        <v>6</v>
      </c>
      <c r="N20" s="14">
        <v>100</v>
      </c>
      <c r="O20" s="56" t="s">
        <v>814</v>
      </c>
      <c r="P20" s="60">
        <v>2.3999999999999998E-3</v>
      </c>
      <c r="Q20" s="57">
        <f>P20*N20</f>
        <v>0.24</v>
      </c>
      <c r="R20" s="14"/>
      <c r="S20" s="20"/>
    </row>
    <row r="21" spans="1:19" x14ac:dyDescent="0.25">
      <c r="A21" s="1"/>
      <c r="B21" s="17">
        <f t="shared" si="0"/>
        <v>14</v>
      </c>
      <c r="C21" s="23" t="s">
        <v>6</v>
      </c>
      <c r="D21" s="21" t="s">
        <v>55</v>
      </c>
      <c r="E21" s="21" t="s">
        <v>205</v>
      </c>
      <c r="F21" s="21" t="s">
        <v>337</v>
      </c>
      <c r="G21" s="21" t="s">
        <v>424</v>
      </c>
      <c r="H21" s="21" t="s">
        <v>531</v>
      </c>
      <c r="I21" s="21" t="s">
        <v>790</v>
      </c>
      <c r="J21" s="21" t="s">
        <v>605</v>
      </c>
      <c r="K21" s="48" t="s">
        <v>732</v>
      </c>
      <c r="L21" s="21">
        <v>2</v>
      </c>
      <c r="M21" s="14">
        <f t="shared" si="1"/>
        <v>6</v>
      </c>
      <c r="N21" s="21">
        <v>100</v>
      </c>
      <c r="O21" s="56" t="s">
        <v>814</v>
      </c>
      <c r="P21" s="60">
        <v>2E-3</v>
      </c>
      <c r="Q21" s="58">
        <f t="shared" ref="Q21" si="8">P21*N21</f>
        <v>0.2</v>
      </c>
      <c r="R21" s="21"/>
      <c r="S21" s="21"/>
    </row>
    <row r="22" spans="1:19" x14ac:dyDescent="0.25">
      <c r="A22" s="1"/>
      <c r="B22" s="16">
        <f>ROW(B22) - ROW($B$7)</f>
        <v>15</v>
      </c>
      <c r="C22" s="23" t="s">
        <v>6</v>
      </c>
      <c r="D22" s="14" t="s">
        <v>56</v>
      </c>
      <c r="E22" s="14" t="s">
        <v>206</v>
      </c>
      <c r="F22" s="14" t="s">
        <v>342</v>
      </c>
      <c r="G22" s="14" t="s">
        <v>425</v>
      </c>
      <c r="H22" s="14" t="s">
        <v>533</v>
      </c>
      <c r="I22" s="21" t="s">
        <v>790</v>
      </c>
      <c r="J22" s="14" t="s">
        <v>606</v>
      </c>
      <c r="K22" s="43" t="s">
        <v>733</v>
      </c>
      <c r="L22" s="14">
        <v>1</v>
      </c>
      <c r="M22" s="14">
        <f t="shared" si="1"/>
        <v>3</v>
      </c>
      <c r="N22" s="14">
        <v>4</v>
      </c>
      <c r="O22" s="56" t="s">
        <v>814</v>
      </c>
      <c r="P22" s="60">
        <v>0.89149999999999996</v>
      </c>
      <c r="Q22" s="57">
        <f>P22*N22</f>
        <v>3.5659999999999998</v>
      </c>
      <c r="R22" s="14"/>
      <c r="S22" s="20"/>
    </row>
    <row r="23" spans="1:19" x14ac:dyDescent="0.25">
      <c r="A23" s="1"/>
      <c r="B23" s="17">
        <f t="shared" si="0"/>
        <v>16</v>
      </c>
      <c r="C23" s="23" t="s">
        <v>6</v>
      </c>
      <c r="D23" s="21" t="s">
        <v>57</v>
      </c>
      <c r="E23" s="21" t="s">
        <v>207</v>
      </c>
      <c r="F23" s="21" t="s">
        <v>339</v>
      </c>
      <c r="G23" s="21" t="s">
        <v>426</v>
      </c>
      <c r="H23" s="21" t="s">
        <v>530</v>
      </c>
      <c r="I23" s="21" t="s">
        <v>790</v>
      </c>
      <c r="J23" s="21" t="s">
        <v>607</v>
      </c>
      <c r="K23" s="48" t="s">
        <v>722</v>
      </c>
      <c r="L23" s="21">
        <v>1</v>
      </c>
      <c r="M23" s="14">
        <f t="shared" si="1"/>
        <v>3</v>
      </c>
      <c r="N23" s="21">
        <v>100</v>
      </c>
      <c r="O23" s="56" t="s">
        <v>814</v>
      </c>
      <c r="P23" s="60">
        <v>3.2000000000000002E-3</v>
      </c>
      <c r="Q23" s="58">
        <f t="shared" ref="Q23" si="9">P23*N23</f>
        <v>0.32</v>
      </c>
      <c r="R23" s="21"/>
      <c r="S23" s="21"/>
    </row>
    <row r="24" spans="1:19" x14ac:dyDescent="0.25">
      <c r="A24" s="1"/>
      <c r="B24" s="16">
        <f>ROW(B24) - ROW($B$7)</f>
        <v>17</v>
      </c>
      <c r="C24" s="23" t="s">
        <v>6</v>
      </c>
      <c r="D24" s="14" t="s">
        <v>58</v>
      </c>
      <c r="E24" s="14" t="s">
        <v>208</v>
      </c>
      <c r="F24" s="14" t="s">
        <v>337</v>
      </c>
      <c r="G24" s="14" t="s">
        <v>427</v>
      </c>
      <c r="H24" s="14" t="s">
        <v>531</v>
      </c>
      <c r="I24" s="21" t="s">
        <v>790</v>
      </c>
      <c r="J24" s="14" t="s">
        <v>608</v>
      </c>
      <c r="K24" s="43" t="s">
        <v>734</v>
      </c>
      <c r="L24" s="14">
        <v>1</v>
      </c>
      <c r="M24" s="14">
        <f t="shared" si="1"/>
        <v>3</v>
      </c>
      <c r="N24" s="14">
        <v>20</v>
      </c>
      <c r="O24" s="56" t="s">
        <v>814</v>
      </c>
      <c r="P24" s="60">
        <v>2.3E-2</v>
      </c>
      <c r="Q24" s="57">
        <f>P24*N24</f>
        <v>0.45999999999999996</v>
      </c>
      <c r="R24" s="14"/>
      <c r="S24" s="20"/>
    </row>
    <row r="25" spans="1:19" x14ac:dyDescent="0.25">
      <c r="A25" s="1"/>
      <c r="B25" s="17">
        <f t="shared" si="0"/>
        <v>18</v>
      </c>
      <c r="C25" s="23" t="s">
        <v>6</v>
      </c>
      <c r="D25" s="21" t="s">
        <v>59</v>
      </c>
      <c r="E25" s="21" t="s">
        <v>209</v>
      </c>
      <c r="F25" s="21" t="s">
        <v>343</v>
      </c>
      <c r="G25" s="21" t="s">
        <v>428</v>
      </c>
      <c r="H25" s="21" t="s">
        <v>533</v>
      </c>
      <c r="I25" s="21" t="s">
        <v>790</v>
      </c>
      <c r="J25" s="21" t="s">
        <v>609</v>
      </c>
      <c r="K25" s="48" t="s">
        <v>735</v>
      </c>
      <c r="L25" s="21">
        <v>2</v>
      </c>
      <c r="M25" s="14">
        <f t="shared" si="1"/>
        <v>6</v>
      </c>
      <c r="N25" s="21">
        <v>10</v>
      </c>
      <c r="O25" s="56" t="s">
        <v>814</v>
      </c>
      <c r="P25" s="60">
        <v>0.20760000000000001</v>
      </c>
      <c r="Q25" s="58">
        <f t="shared" ref="Q25" si="10">P25*N25</f>
        <v>2.0760000000000001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6</v>
      </c>
      <c r="D26" s="14" t="s">
        <v>60</v>
      </c>
      <c r="E26" s="14" t="s">
        <v>210</v>
      </c>
      <c r="F26" s="14" t="s">
        <v>337</v>
      </c>
      <c r="G26" s="14" t="s">
        <v>429</v>
      </c>
      <c r="H26" s="14" t="s">
        <v>530</v>
      </c>
      <c r="I26" s="21" t="s">
        <v>790</v>
      </c>
      <c r="J26" s="14" t="s">
        <v>610</v>
      </c>
      <c r="K26" s="43" t="s">
        <v>736</v>
      </c>
      <c r="L26" s="14">
        <v>2</v>
      </c>
      <c r="M26" s="14">
        <f t="shared" si="1"/>
        <v>6</v>
      </c>
      <c r="N26" s="14">
        <v>100</v>
      </c>
      <c r="O26" s="56" t="s">
        <v>814</v>
      </c>
      <c r="P26" s="60">
        <v>5.7000000000000002E-3</v>
      </c>
      <c r="Q26" s="57">
        <f>P26*N26</f>
        <v>0.57000000000000006</v>
      </c>
      <c r="R26" s="14"/>
      <c r="S26" s="20"/>
    </row>
    <row r="27" spans="1:19" x14ac:dyDescent="0.25">
      <c r="A27" s="1"/>
      <c r="B27" s="17">
        <f t="shared" si="0"/>
        <v>20</v>
      </c>
      <c r="C27" s="23" t="s">
        <v>6</v>
      </c>
      <c r="D27" s="21" t="s">
        <v>61</v>
      </c>
      <c r="E27" s="21" t="s">
        <v>211</v>
      </c>
      <c r="F27" s="21" t="s">
        <v>337</v>
      </c>
      <c r="G27" s="21" t="s">
        <v>430</v>
      </c>
      <c r="H27" s="21" t="s">
        <v>530</v>
      </c>
      <c r="I27" s="21" t="s">
        <v>790</v>
      </c>
      <c r="J27" s="21" t="s">
        <v>611</v>
      </c>
      <c r="K27" s="48" t="s">
        <v>726</v>
      </c>
      <c r="L27" s="21">
        <v>1</v>
      </c>
      <c r="M27" s="14">
        <f t="shared" si="1"/>
        <v>3</v>
      </c>
      <c r="N27" s="21">
        <v>20</v>
      </c>
      <c r="O27" s="56" t="s">
        <v>814</v>
      </c>
      <c r="P27" s="60">
        <v>2.3099999999999999E-2</v>
      </c>
      <c r="Q27" s="58">
        <f t="shared" ref="Q27" si="11">P27*N27</f>
        <v>0.46199999999999997</v>
      </c>
      <c r="R27" s="21"/>
      <c r="S27" s="21"/>
    </row>
    <row r="28" spans="1:19" x14ac:dyDescent="0.25">
      <c r="A28" s="1"/>
      <c r="B28" s="16">
        <f>ROW(B28) - ROW($B$7)</f>
        <v>21</v>
      </c>
      <c r="C28" s="23" t="s">
        <v>6</v>
      </c>
      <c r="D28" s="14" t="s">
        <v>860</v>
      </c>
      <c r="E28" s="14" t="s">
        <v>215</v>
      </c>
      <c r="F28" s="14" t="s">
        <v>337</v>
      </c>
      <c r="G28" s="14" t="s">
        <v>433</v>
      </c>
      <c r="H28" s="14" t="s">
        <v>531</v>
      </c>
      <c r="I28" s="21" t="s">
        <v>790</v>
      </c>
      <c r="J28" s="14" t="s">
        <v>615</v>
      </c>
      <c r="K28" s="43" t="s">
        <v>738</v>
      </c>
      <c r="L28" s="14">
        <v>6</v>
      </c>
      <c r="M28" s="14">
        <f t="shared" si="1"/>
        <v>18</v>
      </c>
      <c r="N28" s="14">
        <v>50</v>
      </c>
      <c r="O28" s="70" t="s">
        <v>814</v>
      </c>
      <c r="P28" s="60">
        <v>4.5900000000000003E-2</v>
      </c>
      <c r="Q28" s="57">
        <f>P28*N28</f>
        <v>2.2950000000000004</v>
      </c>
      <c r="R28" s="14"/>
      <c r="S28" s="20"/>
    </row>
    <row r="29" spans="1:19" ht="24" x14ac:dyDescent="0.25">
      <c r="A29" s="1"/>
      <c r="B29" s="17">
        <f t="shared" si="0"/>
        <v>22</v>
      </c>
      <c r="C29" s="23" t="s">
        <v>6</v>
      </c>
      <c r="D29" s="21" t="s">
        <v>62</v>
      </c>
      <c r="E29" s="21" t="s">
        <v>212</v>
      </c>
      <c r="F29" s="21" t="s">
        <v>339</v>
      </c>
      <c r="G29" s="21" t="s">
        <v>431</v>
      </c>
      <c r="H29" s="21" t="s">
        <v>532</v>
      </c>
      <c r="I29" s="21" t="s">
        <v>790</v>
      </c>
      <c r="J29" s="21" t="s">
        <v>612</v>
      </c>
      <c r="K29" s="48" t="s">
        <v>726</v>
      </c>
      <c r="L29" s="21">
        <v>10</v>
      </c>
      <c r="M29" s="14">
        <f t="shared" si="1"/>
        <v>30</v>
      </c>
      <c r="N29" s="21">
        <v>32</v>
      </c>
      <c r="O29" s="56" t="s">
        <v>814</v>
      </c>
      <c r="P29" s="60">
        <v>0.3357</v>
      </c>
      <c r="Q29" s="58">
        <f t="shared" ref="Q29" si="12">P29*N29</f>
        <v>10.7424</v>
      </c>
      <c r="R29" s="21"/>
      <c r="S29" s="21"/>
    </row>
    <row r="30" spans="1:19" ht="36" x14ac:dyDescent="0.25">
      <c r="A30" s="1"/>
      <c r="B30" s="16">
        <f>ROW(B30) - ROW($B$7)</f>
        <v>23</v>
      </c>
      <c r="C30" s="23" t="s">
        <v>6</v>
      </c>
      <c r="D30" s="14" t="s">
        <v>63</v>
      </c>
      <c r="E30" s="14" t="s">
        <v>213</v>
      </c>
      <c r="F30" s="14" t="s">
        <v>812</v>
      </c>
      <c r="G30" s="14" t="s">
        <v>344</v>
      </c>
      <c r="H30" s="14" t="s">
        <v>534</v>
      </c>
      <c r="I30" s="21" t="s">
        <v>790</v>
      </c>
      <c r="J30" s="14" t="s">
        <v>613</v>
      </c>
      <c r="K30" s="43" t="s">
        <v>735</v>
      </c>
      <c r="L30" s="14">
        <v>1</v>
      </c>
      <c r="M30" s="14">
        <f t="shared" si="1"/>
        <v>3</v>
      </c>
      <c r="N30" s="14">
        <v>10</v>
      </c>
      <c r="O30" s="53" t="s">
        <v>814</v>
      </c>
      <c r="P30" s="15">
        <v>5.6800000000000003E-2</v>
      </c>
      <c r="Q30" s="15">
        <f>P30*N30</f>
        <v>0.56800000000000006</v>
      </c>
      <c r="R30" s="14"/>
      <c r="S30" s="20"/>
    </row>
    <row r="31" spans="1:19" ht="24" x14ac:dyDescent="0.25">
      <c r="A31" s="1"/>
      <c r="B31" s="17">
        <f t="shared" si="0"/>
        <v>24</v>
      </c>
      <c r="C31" s="23" t="s">
        <v>6</v>
      </c>
      <c r="D31" s="21" t="s">
        <v>64</v>
      </c>
      <c r="E31" s="21" t="s">
        <v>214</v>
      </c>
      <c r="F31" s="21" t="s">
        <v>337</v>
      </c>
      <c r="G31" s="21" t="s">
        <v>432</v>
      </c>
      <c r="H31" s="21" t="s">
        <v>530</v>
      </c>
      <c r="I31" s="21" t="s">
        <v>790</v>
      </c>
      <c r="J31" s="21" t="s">
        <v>614</v>
      </c>
      <c r="K31" s="48" t="s">
        <v>737</v>
      </c>
      <c r="L31" s="21">
        <v>7</v>
      </c>
      <c r="M31" s="14">
        <f t="shared" si="1"/>
        <v>21</v>
      </c>
      <c r="N31" s="21">
        <v>50</v>
      </c>
      <c r="O31" s="53" t="s">
        <v>814</v>
      </c>
      <c r="P31" s="15">
        <v>1.67E-2</v>
      </c>
      <c r="Q31" s="22">
        <f t="shared" ref="Q31" si="13">P31*N31</f>
        <v>0.83499999999999996</v>
      </c>
      <c r="R31" s="21"/>
      <c r="S31" s="21"/>
    </row>
    <row r="32" spans="1:19" ht="24" x14ac:dyDescent="0.25">
      <c r="A32" s="1"/>
      <c r="B32" s="17">
        <f t="shared" si="0"/>
        <v>25</v>
      </c>
      <c r="C32" s="23" t="s">
        <v>6</v>
      </c>
      <c r="D32" s="21" t="s">
        <v>65</v>
      </c>
      <c r="E32" s="21" t="s">
        <v>203</v>
      </c>
      <c r="F32" s="21" t="s">
        <v>337</v>
      </c>
      <c r="G32" s="21" t="s">
        <v>422</v>
      </c>
      <c r="H32" s="21" t="s">
        <v>530</v>
      </c>
      <c r="I32" s="21" t="s">
        <v>790</v>
      </c>
      <c r="J32" s="21" t="s">
        <v>603</v>
      </c>
      <c r="K32" s="48" t="s">
        <v>724</v>
      </c>
      <c r="L32" s="21">
        <v>7</v>
      </c>
      <c r="M32" s="14">
        <f t="shared" si="1"/>
        <v>21</v>
      </c>
      <c r="N32" s="21">
        <v>100</v>
      </c>
      <c r="O32" s="53" t="s">
        <v>814</v>
      </c>
      <c r="P32" s="15">
        <v>1.1000000000000001E-3</v>
      </c>
      <c r="Q32" s="22">
        <f t="shared" ref="Q32" si="14">P32*N32</f>
        <v>0.11</v>
      </c>
      <c r="R32" s="21"/>
      <c r="S32" s="21"/>
    </row>
    <row r="33" spans="1:19" x14ac:dyDescent="0.25">
      <c r="A33" s="1"/>
      <c r="B33" s="16">
        <f>ROW(B33) - ROW($B$7)</f>
        <v>26</v>
      </c>
      <c r="C33" s="23" t="s">
        <v>6</v>
      </c>
      <c r="D33" s="14" t="s">
        <v>66</v>
      </c>
      <c r="E33" s="14" t="s">
        <v>216</v>
      </c>
      <c r="F33" s="14" t="s">
        <v>337</v>
      </c>
      <c r="G33" s="14" t="s">
        <v>434</v>
      </c>
      <c r="H33" s="14" t="s">
        <v>535</v>
      </c>
      <c r="I33" s="21" t="s">
        <v>790</v>
      </c>
      <c r="J33" s="14" t="s">
        <v>616</v>
      </c>
      <c r="K33" s="43" t="s">
        <v>739</v>
      </c>
      <c r="L33" s="14">
        <v>2</v>
      </c>
      <c r="M33" s="14">
        <f t="shared" si="1"/>
        <v>6</v>
      </c>
      <c r="N33" s="14">
        <v>100</v>
      </c>
      <c r="O33" s="53" t="s">
        <v>814</v>
      </c>
      <c r="P33" s="15">
        <v>1.4E-3</v>
      </c>
      <c r="Q33" s="15">
        <f>P33*N33</f>
        <v>0.13999999999999999</v>
      </c>
      <c r="R33" s="14"/>
      <c r="S33" s="20"/>
    </row>
    <row r="34" spans="1:19" x14ac:dyDescent="0.25">
      <c r="A34" s="1"/>
      <c r="B34" s="17">
        <f t="shared" si="0"/>
        <v>27</v>
      </c>
      <c r="C34" s="23" t="s">
        <v>6</v>
      </c>
      <c r="D34" s="21" t="s">
        <v>67</v>
      </c>
      <c r="E34" s="21" t="s">
        <v>217</v>
      </c>
      <c r="F34" s="21" t="s">
        <v>337</v>
      </c>
      <c r="G34" s="21" t="s">
        <v>435</v>
      </c>
      <c r="H34" s="21" t="s">
        <v>530</v>
      </c>
      <c r="I34" s="21" t="s">
        <v>790</v>
      </c>
      <c r="J34" s="21" t="s">
        <v>617</v>
      </c>
      <c r="K34" s="48" t="s">
        <v>740</v>
      </c>
      <c r="L34" s="21">
        <v>2</v>
      </c>
      <c r="M34" s="14">
        <f t="shared" si="1"/>
        <v>6</v>
      </c>
      <c r="N34" s="21">
        <v>100</v>
      </c>
      <c r="O34" s="53" t="s">
        <v>814</v>
      </c>
      <c r="P34" s="15">
        <v>2.3E-3</v>
      </c>
      <c r="Q34" s="22">
        <f t="shared" ref="Q34" si="15">P34*N34</f>
        <v>0.22999999999999998</v>
      </c>
      <c r="R34" s="21"/>
      <c r="S34" s="21"/>
    </row>
    <row r="35" spans="1:19" x14ac:dyDescent="0.25">
      <c r="A35" s="1"/>
      <c r="B35" s="16">
        <f>ROW(B35) - ROW($B$7)</f>
        <v>28</v>
      </c>
      <c r="C35" s="23" t="s">
        <v>6</v>
      </c>
      <c r="D35" s="14" t="s">
        <v>68</v>
      </c>
      <c r="E35" s="14" t="s">
        <v>218</v>
      </c>
      <c r="F35" s="14" t="s">
        <v>339</v>
      </c>
      <c r="G35" s="14" t="s">
        <v>436</v>
      </c>
      <c r="H35" s="14" t="s">
        <v>530</v>
      </c>
      <c r="I35" s="21" t="s">
        <v>790</v>
      </c>
      <c r="J35" s="14" t="s">
        <v>618</v>
      </c>
      <c r="K35" s="43" t="s">
        <v>741</v>
      </c>
      <c r="L35" s="14">
        <v>1</v>
      </c>
      <c r="M35" s="14">
        <f t="shared" si="1"/>
        <v>3</v>
      </c>
      <c r="N35" s="14">
        <v>100</v>
      </c>
      <c r="O35" s="53" t="s">
        <v>814</v>
      </c>
      <c r="P35" s="15">
        <v>4.7000000000000002E-3</v>
      </c>
      <c r="Q35" s="15">
        <f>P35*N35</f>
        <v>0.47000000000000003</v>
      </c>
      <c r="R35" s="14"/>
      <c r="S35" s="20"/>
    </row>
    <row r="36" spans="1:19" x14ac:dyDescent="0.25">
      <c r="A36" s="1"/>
      <c r="B36" s="17">
        <f t="shared" si="0"/>
        <v>29</v>
      </c>
      <c r="C36" s="23" t="s">
        <v>6</v>
      </c>
      <c r="D36" s="21" t="s">
        <v>69</v>
      </c>
      <c r="E36" s="21" t="s">
        <v>219</v>
      </c>
      <c r="F36" s="21" t="s">
        <v>345</v>
      </c>
      <c r="G36" s="21" t="s">
        <v>437</v>
      </c>
      <c r="H36" s="21" t="s">
        <v>530</v>
      </c>
      <c r="I36" s="21" t="s">
        <v>790</v>
      </c>
      <c r="J36" s="21" t="s">
        <v>619</v>
      </c>
      <c r="K36" s="48" t="s">
        <v>730</v>
      </c>
      <c r="L36" s="21">
        <v>2</v>
      </c>
      <c r="M36" s="14">
        <f t="shared" si="1"/>
        <v>6</v>
      </c>
      <c r="N36" s="21">
        <v>100</v>
      </c>
      <c r="O36" s="53" t="s">
        <v>814</v>
      </c>
      <c r="P36" s="15">
        <v>3.8999999999999998E-3</v>
      </c>
      <c r="Q36" s="22">
        <f t="shared" ref="Q36" si="16">P36*N36</f>
        <v>0.38999999999999996</v>
      </c>
      <c r="R36" s="21"/>
      <c r="S36" s="21"/>
    </row>
    <row r="37" spans="1:19" x14ac:dyDescent="0.25">
      <c r="A37" s="1"/>
      <c r="B37" s="16">
        <f>ROW(B37) - ROW($B$7)</f>
        <v>30</v>
      </c>
      <c r="C37" s="23" t="s">
        <v>6</v>
      </c>
      <c r="D37" s="14" t="s">
        <v>70</v>
      </c>
      <c r="E37" s="14" t="s">
        <v>220</v>
      </c>
      <c r="F37" s="14" t="s">
        <v>339</v>
      </c>
      <c r="G37" s="14" t="s">
        <v>438</v>
      </c>
      <c r="H37" s="14" t="s">
        <v>530</v>
      </c>
      <c r="I37" s="21" t="s">
        <v>790</v>
      </c>
      <c r="J37" s="14" t="s">
        <v>620</v>
      </c>
      <c r="K37" s="43" t="s">
        <v>725</v>
      </c>
      <c r="L37" s="14">
        <v>1</v>
      </c>
      <c r="M37" s="14">
        <f t="shared" si="1"/>
        <v>3</v>
      </c>
      <c r="N37" s="14">
        <v>100</v>
      </c>
      <c r="O37" s="53" t="s">
        <v>814</v>
      </c>
      <c r="P37" s="15">
        <v>5.1000000000000004E-3</v>
      </c>
      <c r="Q37" s="15">
        <f>P37*N37</f>
        <v>0.51</v>
      </c>
      <c r="R37" s="14"/>
      <c r="S37" s="20"/>
    </row>
    <row r="38" spans="1:19" ht="25.5" x14ac:dyDescent="0.25">
      <c r="A38" s="1"/>
      <c r="B38" s="16">
        <f>ROW(B38) - ROW($B$7)</f>
        <v>31</v>
      </c>
      <c r="C38" s="23" t="s">
        <v>879</v>
      </c>
      <c r="D38" s="14" t="s">
        <v>863</v>
      </c>
      <c r="E38" s="43" t="s">
        <v>864</v>
      </c>
      <c r="F38" s="14" t="s">
        <v>353</v>
      </c>
      <c r="G38" s="43" t="s">
        <v>865</v>
      </c>
      <c r="H38" s="14" t="s">
        <v>866</v>
      </c>
      <c r="I38" s="21" t="s">
        <v>790</v>
      </c>
      <c r="J38" s="14" t="s">
        <v>880</v>
      </c>
      <c r="K38" s="43" t="s">
        <v>790</v>
      </c>
      <c r="L38" s="14">
        <v>2</v>
      </c>
      <c r="M38" s="14">
        <f t="shared" si="1"/>
        <v>6</v>
      </c>
      <c r="N38" s="14">
        <v>10</v>
      </c>
      <c r="O38" s="53" t="s">
        <v>814</v>
      </c>
      <c r="P38" s="15">
        <v>6.7299999999999999E-2</v>
      </c>
      <c r="Q38" s="15">
        <f>P38*N38</f>
        <v>0.67300000000000004</v>
      </c>
      <c r="R38" s="14"/>
      <c r="S38" s="20"/>
    </row>
    <row r="39" spans="1:19" ht="48" x14ac:dyDescent="0.25">
      <c r="A39" s="1"/>
      <c r="B39" s="17">
        <f t="shared" si="0"/>
        <v>32</v>
      </c>
      <c r="C39" s="24" t="s">
        <v>7</v>
      </c>
      <c r="D39" s="21" t="s">
        <v>867</v>
      </c>
      <c r="E39" s="21" t="s">
        <v>221</v>
      </c>
      <c r="F39" s="21" t="s">
        <v>346</v>
      </c>
      <c r="G39" s="21" t="s">
        <v>439</v>
      </c>
      <c r="H39" s="21" t="s">
        <v>536</v>
      </c>
      <c r="I39" s="21" t="s">
        <v>790</v>
      </c>
      <c r="J39" s="21" t="s">
        <v>621</v>
      </c>
      <c r="K39" s="48" t="s">
        <v>790</v>
      </c>
      <c r="L39" s="21">
        <v>28</v>
      </c>
      <c r="M39" s="14">
        <f t="shared" si="1"/>
        <v>84</v>
      </c>
      <c r="N39" s="21">
        <v>100</v>
      </c>
      <c r="O39" s="53" t="s">
        <v>814</v>
      </c>
      <c r="P39" s="15">
        <v>8.3000000000000001E-3</v>
      </c>
      <c r="Q39" s="22">
        <f t="shared" ref="Q39" si="17">P39*N39</f>
        <v>0.83</v>
      </c>
      <c r="R39" s="21"/>
      <c r="S39" s="21"/>
    </row>
    <row r="40" spans="1:19" ht="24" x14ac:dyDescent="0.25">
      <c r="A40" s="1"/>
      <c r="B40" s="16">
        <f>ROW(B40) - ROW($B$7)</f>
        <v>33</v>
      </c>
      <c r="C40" s="24" t="s">
        <v>7</v>
      </c>
      <c r="D40" s="14" t="s">
        <v>71</v>
      </c>
      <c r="E40" s="14" t="s">
        <v>222</v>
      </c>
      <c r="F40" s="14" t="s">
        <v>347</v>
      </c>
      <c r="G40" s="14" t="s">
        <v>440</v>
      </c>
      <c r="H40" s="14" t="s">
        <v>537</v>
      </c>
      <c r="I40" s="21" t="s">
        <v>790</v>
      </c>
      <c r="J40" s="14" t="s">
        <v>622</v>
      </c>
      <c r="K40" s="43" t="s">
        <v>790</v>
      </c>
      <c r="L40" s="14">
        <v>2</v>
      </c>
      <c r="M40" s="14">
        <f t="shared" si="1"/>
        <v>6</v>
      </c>
      <c r="N40" s="14">
        <v>10</v>
      </c>
      <c r="O40" s="53" t="s">
        <v>814</v>
      </c>
      <c r="P40" s="15">
        <v>6.2600000000000003E-2</v>
      </c>
      <c r="Q40" s="15">
        <f>P40*N40</f>
        <v>0.626</v>
      </c>
      <c r="R40" s="14"/>
      <c r="S40" s="20"/>
    </row>
    <row r="41" spans="1:19" x14ac:dyDescent="0.25">
      <c r="A41" s="1"/>
      <c r="B41" s="17">
        <f t="shared" si="0"/>
        <v>34</v>
      </c>
      <c r="C41" s="24" t="s">
        <v>7</v>
      </c>
      <c r="D41" s="21" t="s">
        <v>72</v>
      </c>
      <c r="E41" s="21" t="s">
        <v>223</v>
      </c>
      <c r="F41" s="21" t="s">
        <v>348</v>
      </c>
      <c r="G41" s="21" t="s">
        <v>441</v>
      </c>
      <c r="H41" s="21" t="s">
        <v>538</v>
      </c>
      <c r="I41" s="21" t="s">
        <v>790</v>
      </c>
      <c r="J41" s="21" t="s">
        <v>623</v>
      </c>
      <c r="K41" s="48" t="s">
        <v>790</v>
      </c>
      <c r="L41" s="21">
        <v>1</v>
      </c>
      <c r="M41" s="14">
        <f t="shared" si="1"/>
        <v>3</v>
      </c>
      <c r="N41" s="21">
        <v>5</v>
      </c>
      <c r="O41" s="53" t="s">
        <v>814</v>
      </c>
      <c r="P41" s="15">
        <v>9.9299999999999999E-2</v>
      </c>
      <c r="Q41" s="22">
        <f t="shared" ref="Q41" si="18">P41*N41</f>
        <v>0.4965</v>
      </c>
      <c r="R41" s="21"/>
      <c r="S41" s="21"/>
    </row>
    <row r="42" spans="1:19" x14ac:dyDescent="0.25">
      <c r="A42" s="1"/>
      <c r="B42" s="16">
        <f>ROW(B42) - ROW($B$7)</f>
        <v>35</v>
      </c>
      <c r="C42" s="24" t="s">
        <v>7</v>
      </c>
      <c r="D42" s="14" t="s">
        <v>73</v>
      </c>
      <c r="E42" s="14" t="s">
        <v>224</v>
      </c>
      <c r="F42" s="14" t="s">
        <v>349</v>
      </c>
      <c r="G42" s="14" t="s">
        <v>442</v>
      </c>
      <c r="H42" s="14" t="s">
        <v>539</v>
      </c>
      <c r="I42" s="21" t="s">
        <v>790</v>
      </c>
      <c r="J42" s="14" t="s">
        <v>624</v>
      </c>
      <c r="K42" s="43" t="s">
        <v>790</v>
      </c>
      <c r="L42" s="14">
        <v>6</v>
      </c>
      <c r="M42" s="14">
        <f t="shared" si="1"/>
        <v>18</v>
      </c>
      <c r="N42" s="14">
        <v>20</v>
      </c>
      <c r="O42" s="53" t="s">
        <v>814</v>
      </c>
      <c r="P42" s="15">
        <v>0.12529999999999999</v>
      </c>
      <c r="Q42" s="15">
        <f>P42*N42</f>
        <v>2.5059999999999998</v>
      </c>
      <c r="R42" s="14"/>
      <c r="S42" s="20"/>
    </row>
    <row r="43" spans="1:19" x14ac:dyDescent="0.25">
      <c r="A43" s="1"/>
      <c r="B43" s="17">
        <f t="shared" si="0"/>
        <v>36</v>
      </c>
      <c r="C43" s="24" t="s">
        <v>7</v>
      </c>
      <c r="D43" s="21" t="s">
        <v>74</v>
      </c>
      <c r="E43" s="21" t="s">
        <v>225</v>
      </c>
      <c r="F43" s="21" t="s">
        <v>350</v>
      </c>
      <c r="G43" s="21" t="s">
        <v>443</v>
      </c>
      <c r="H43" s="21" t="s">
        <v>540</v>
      </c>
      <c r="I43" s="21" t="s">
        <v>790</v>
      </c>
      <c r="J43" s="21" t="s">
        <v>625</v>
      </c>
      <c r="K43" s="48" t="s">
        <v>790</v>
      </c>
      <c r="L43" s="21">
        <v>1</v>
      </c>
      <c r="M43" s="14">
        <f t="shared" si="1"/>
        <v>3</v>
      </c>
      <c r="N43" s="21">
        <v>10</v>
      </c>
      <c r="O43" s="53" t="s">
        <v>814</v>
      </c>
      <c r="P43" s="15">
        <v>4.6300000000000001E-2</v>
      </c>
      <c r="Q43" s="22">
        <f t="shared" ref="Q43" si="19">P43*N43</f>
        <v>0.46300000000000002</v>
      </c>
      <c r="R43" s="21"/>
      <c r="S43" s="21"/>
    </row>
    <row r="44" spans="1:19" ht="36" x14ac:dyDescent="0.25">
      <c r="A44" s="1"/>
      <c r="B44" s="16">
        <f>ROW(B44) - ROW($B$7)</f>
        <v>37</v>
      </c>
      <c r="C44" s="24" t="s">
        <v>7</v>
      </c>
      <c r="D44" s="14" t="s">
        <v>75</v>
      </c>
      <c r="E44" s="14" t="s">
        <v>226</v>
      </c>
      <c r="F44" s="14" t="s">
        <v>351</v>
      </c>
      <c r="G44" s="14" t="s">
        <v>444</v>
      </c>
      <c r="H44" s="14" t="s">
        <v>536</v>
      </c>
      <c r="I44" s="21" t="s">
        <v>790</v>
      </c>
      <c r="J44" s="14" t="s">
        <v>626</v>
      </c>
      <c r="K44" s="43" t="s">
        <v>790</v>
      </c>
      <c r="L44" s="14">
        <v>21</v>
      </c>
      <c r="M44" s="14">
        <f t="shared" si="1"/>
        <v>63</v>
      </c>
      <c r="N44" s="14">
        <v>80</v>
      </c>
      <c r="O44" s="53" t="s">
        <v>814</v>
      </c>
      <c r="P44" s="15">
        <v>1.9099999999999999E-2</v>
      </c>
      <c r="Q44" s="15">
        <f>P44*N44</f>
        <v>1.528</v>
      </c>
      <c r="R44" s="14"/>
      <c r="S44" s="20"/>
    </row>
    <row r="45" spans="1:19" ht="24" x14ac:dyDescent="0.25">
      <c r="A45" s="1"/>
      <c r="B45" s="17">
        <f t="shared" si="0"/>
        <v>38</v>
      </c>
      <c r="C45" s="24" t="s">
        <v>7</v>
      </c>
      <c r="D45" s="21" t="s">
        <v>76</v>
      </c>
      <c r="E45" s="21" t="s">
        <v>227</v>
      </c>
      <c r="F45" s="21" t="s">
        <v>352</v>
      </c>
      <c r="G45" s="21" t="s">
        <v>445</v>
      </c>
      <c r="H45" s="21" t="s">
        <v>537</v>
      </c>
      <c r="I45" s="21" t="s">
        <v>790</v>
      </c>
      <c r="J45" s="21" t="s">
        <v>627</v>
      </c>
      <c r="K45" s="48" t="s">
        <v>790</v>
      </c>
      <c r="L45" s="21">
        <v>1</v>
      </c>
      <c r="M45" s="14">
        <f t="shared" si="1"/>
        <v>3</v>
      </c>
      <c r="N45" s="21">
        <v>10</v>
      </c>
      <c r="O45" s="53" t="s">
        <v>814</v>
      </c>
      <c r="P45" s="15">
        <v>7.9399999999999998E-2</v>
      </c>
      <c r="Q45" s="22">
        <f t="shared" ref="Q45" si="20">P45*N45</f>
        <v>0.79400000000000004</v>
      </c>
      <c r="R45" s="21"/>
      <c r="S45" s="21"/>
    </row>
    <row r="46" spans="1:19" ht="36" x14ac:dyDescent="0.25">
      <c r="A46" s="1"/>
      <c r="B46" s="16">
        <f>ROW(B46) - ROW($B$7)</f>
        <v>39</v>
      </c>
      <c r="C46" s="23" t="s">
        <v>7</v>
      </c>
      <c r="D46" s="14" t="s">
        <v>77</v>
      </c>
      <c r="E46" s="14" t="s">
        <v>228</v>
      </c>
      <c r="F46" s="14" t="s">
        <v>351</v>
      </c>
      <c r="G46" s="14" t="s">
        <v>446</v>
      </c>
      <c r="H46" s="14" t="s">
        <v>541</v>
      </c>
      <c r="I46" s="21" t="s">
        <v>790</v>
      </c>
      <c r="J46" s="14" t="s">
        <v>628</v>
      </c>
      <c r="K46" s="43" t="s">
        <v>790</v>
      </c>
      <c r="L46" s="14">
        <v>2</v>
      </c>
      <c r="M46" s="14">
        <f t="shared" si="1"/>
        <v>6</v>
      </c>
      <c r="N46" s="14">
        <v>20</v>
      </c>
      <c r="O46" s="53" t="s">
        <v>814</v>
      </c>
      <c r="P46" s="15">
        <v>2.9100000000000001E-2</v>
      </c>
      <c r="Q46" s="15">
        <f>P46*N46</f>
        <v>0.58200000000000007</v>
      </c>
      <c r="R46" s="14"/>
      <c r="S46" s="20"/>
    </row>
    <row r="47" spans="1:19" x14ac:dyDescent="0.25">
      <c r="A47" s="1"/>
      <c r="B47" s="17">
        <f t="shared" si="0"/>
        <v>40</v>
      </c>
      <c r="C47" s="24" t="s">
        <v>8</v>
      </c>
      <c r="D47" s="21" t="s">
        <v>78</v>
      </c>
      <c r="E47" s="21" t="s">
        <v>229</v>
      </c>
      <c r="F47" s="21" t="s">
        <v>353</v>
      </c>
      <c r="G47" s="21" t="s">
        <v>447</v>
      </c>
      <c r="H47" s="21" t="s">
        <v>538</v>
      </c>
      <c r="I47" s="21" t="s">
        <v>790</v>
      </c>
      <c r="J47" s="21" t="s">
        <v>629</v>
      </c>
      <c r="K47" s="48" t="s">
        <v>790</v>
      </c>
      <c r="L47" s="21">
        <v>2</v>
      </c>
      <c r="M47" s="14">
        <f t="shared" si="1"/>
        <v>6</v>
      </c>
      <c r="N47" s="21">
        <v>10</v>
      </c>
      <c r="O47" s="53" t="s">
        <v>814</v>
      </c>
      <c r="P47" s="15">
        <v>8.0699999999999994E-2</v>
      </c>
      <c r="Q47" s="22">
        <f t="shared" ref="Q47" si="21">P47*N47</f>
        <v>0.80699999999999994</v>
      </c>
      <c r="R47" s="21"/>
      <c r="S47" s="21"/>
    </row>
    <row r="48" spans="1:19" x14ac:dyDescent="0.25">
      <c r="A48" s="1"/>
      <c r="B48" s="16">
        <f>ROW(B48) - ROW($B$7)</f>
        <v>41</v>
      </c>
      <c r="C48" s="23" t="s">
        <v>9</v>
      </c>
      <c r="D48" s="14" t="s">
        <v>79</v>
      </c>
      <c r="E48" s="14" t="s">
        <v>230</v>
      </c>
      <c r="F48" s="14" t="s">
        <v>354</v>
      </c>
      <c r="G48" s="14" t="s">
        <v>448</v>
      </c>
      <c r="H48" s="14" t="s">
        <v>542</v>
      </c>
      <c r="I48" s="21" t="s">
        <v>790</v>
      </c>
      <c r="J48" s="14" t="s">
        <v>630</v>
      </c>
      <c r="K48" s="43" t="s">
        <v>790</v>
      </c>
      <c r="L48" s="14">
        <v>1</v>
      </c>
      <c r="M48" s="14">
        <f t="shared" si="1"/>
        <v>3</v>
      </c>
      <c r="N48" s="14">
        <v>4</v>
      </c>
      <c r="O48" s="53" t="s">
        <v>814</v>
      </c>
      <c r="P48" s="15">
        <v>0.378</v>
      </c>
      <c r="Q48" s="15">
        <f>P48*N48</f>
        <v>1.512</v>
      </c>
      <c r="R48" s="14"/>
      <c r="S48" s="20"/>
    </row>
    <row r="49" spans="1:19" ht="24" x14ac:dyDescent="0.25">
      <c r="A49" s="1"/>
      <c r="B49" s="17">
        <f t="shared" si="0"/>
        <v>42</v>
      </c>
      <c r="C49" s="24" t="s">
        <v>9</v>
      </c>
      <c r="D49" s="21" t="s">
        <v>80</v>
      </c>
      <c r="E49" s="21" t="s">
        <v>231</v>
      </c>
      <c r="F49" s="21" t="s">
        <v>355</v>
      </c>
      <c r="G49" s="21" t="s">
        <v>449</v>
      </c>
      <c r="H49" s="21" t="s">
        <v>543</v>
      </c>
      <c r="I49" s="21" t="s">
        <v>790</v>
      </c>
      <c r="J49" s="21" t="s">
        <v>631</v>
      </c>
      <c r="K49" s="48" t="s">
        <v>790</v>
      </c>
      <c r="L49" s="21">
        <v>1</v>
      </c>
      <c r="M49" s="14">
        <f t="shared" si="1"/>
        <v>3</v>
      </c>
      <c r="N49" s="21">
        <v>10</v>
      </c>
      <c r="O49" s="53" t="s">
        <v>814</v>
      </c>
      <c r="P49" s="15">
        <v>3.9399999999999998E-2</v>
      </c>
      <c r="Q49" s="22">
        <f t="shared" ref="Q49" si="22">P49*N49</f>
        <v>0.39399999999999996</v>
      </c>
      <c r="R49" s="21"/>
      <c r="S49" s="21"/>
    </row>
    <row r="50" spans="1:19" x14ac:dyDescent="0.25">
      <c r="A50" s="1"/>
      <c r="B50" s="16">
        <f>ROW(B50) - ROW($B$7)</f>
        <v>43</v>
      </c>
      <c r="C50" s="23" t="s">
        <v>10</v>
      </c>
      <c r="D50" s="14" t="s">
        <v>81</v>
      </c>
      <c r="E50" s="14" t="s">
        <v>232</v>
      </c>
      <c r="F50" s="14" t="s">
        <v>356</v>
      </c>
      <c r="G50" s="43" t="s">
        <v>868</v>
      </c>
      <c r="H50" s="21" t="s">
        <v>531</v>
      </c>
      <c r="I50" s="21" t="s">
        <v>790</v>
      </c>
      <c r="J50" s="14" t="s">
        <v>632</v>
      </c>
      <c r="K50" s="43" t="s">
        <v>790</v>
      </c>
      <c r="L50" s="14">
        <v>1</v>
      </c>
      <c r="M50" s="14">
        <f t="shared" si="1"/>
        <v>3</v>
      </c>
      <c r="N50" s="14">
        <v>50</v>
      </c>
      <c r="O50" s="53" t="s">
        <v>814</v>
      </c>
      <c r="P50" s="15">
        <v>1.7600000000000001E-2</v>
      </c>
      <c r="Q50" s="15">
        <f>P50*N50</f>
        <v>0.88</v>
      </c>
      <c r="R50" s="14"/>
      <c r="S50" s="20"/>
    </row>
    <row r="51" spans="1:19" x14ac:dyDescent="0.25">
      <c r="A51" s="1"/>
      <c r="B51" s="17">
        <f t="shared" si="0"/>
        <v>44</v>
      </c>
      <c r="C51" s="24" t="s">
        <v>10</v>
      </c>
      <c r="D51" s="21" t="s">
        <v>82</v>
      </c>
      <c r="E51" s="21" t="s">
        <v>233</v>
      </c>
      <c r="F51" s="21" t="s">
        <v>357</v>
      </c>
      <c r="G51" s="21" t="s">
        <v>450</v>
      </c>
      <c r="H51" s="21" t="s">
        <v>531</v>
      </c>
      <c r="I51" s="21" t="s">
        <v>790</v>
      </c>
      <c r="J51" s="21" t="s">
        <v>633</v>
      </c>
      <c r="K51" s="48" t="s">
        <v>790</v>
      </c>
      <c r="L51" s="21">
        <v>1</v>
      </c>
      <c r="M51" s="14">
        <f t="shared" si="1"/>
        <v>3</v>
      </c>
      <c r="N51" s="21">
        <v>100</v>
      </c>
      <c r="O51" s="53" t="s">
        <v>814</v>
      </c>
      <c r="P51" s="15">
        <v>6.4000000000000003E-3</v>
      </c>
      <c r="Q51" s="22">
        <f t="shared" ref="Q51" si="23">P51*N51</f>
        <v>0.64</v>
      </c>
      <c r="R51" s="21"/>
      <c r="S51" s="21"/>
    </row>
    <row r="52" spans="1:19" x14ac:dyDescent="0.25">
      <c r="A52" s="1"/>
      <c r="B52" s="16">
        <f>ROW(B52) - ROW($B$7)</f>
        <v>45</v>
      </c>
      <c r="C52" s="23" t="s">
        <v>10</v>
      </c>
      <c r="D52" s="14" t="s">
        <v>83</v>
      </c>
      <c r="E52" s="14" t="s">
        <v>234</v>
      </c>
      <c r="F52" s="14" t="s">
        <v>358</v>
      </c>
      <c r="G52" s="14" t="s">
        <v>451</v>
      </c>
      <c r="H52" s="14" t="s">
        <v>531</v>
      </c>
      <c r="I52" s="21" t="s">
        <v>790</v>
      </c>
      <c r="J52" s="14" t="s">
        <v>634</v>
      </c>
      <c r="K52" s="43" t="s">
        <v>790</v>
      </c>
      <c r="L52" s="14">
        <v>2</v>
      </c>
      <c r="M52" s="14">
        <f t="shared" si="1"/>
        <v>6</v>
      </c>
      <c r="N52" s="14">
        <v>10</v>
      </c>
      <c r="O52" s="53" t="s">
        <v>814</v>
      </c>
      <c r="P52" s="15">
        <v>0.15340000000000001</v>
      </c>
      <c r="Q52" s="15">
        <f>P52*N52</f>
        <v>1.534</v>
      </c>
      <c r="R52" s="14"/>
      <c r="S52" s="20"/>
    </row>
    <row r="53" spans="1:19" ht="36" x14ac:dyDescent="0.25">
      <c r="A53" s="1"/>
      <c r="B53" s="17">
        <f t="shared" si="0"/>
        <v>46</v>
      </c>
      <c r="C53" s="24" t="s">
        <v>11</v>
      </c>
      <c r="D53" s="21" t="s">
        <v>84</v>
      </c>
      <c r="E53" s="21" t="s">
        <v>235</v>
      </c>
      <c r="F53" s="14" t="s">
        <v>812</v>
      </c>
      <c r="G53" s="21" t="s">
        <v>359</v>
      </c>
      <c r="H53" s="21" t="s">
        <v>544</v>
      </c>
      <c r="I53" s="21" t="s">
        <v>790</v>
      </c>
      <c r="J53" s="21" t="s">
        <v>635</v>
      </c>
      <c r="K53" s="43" t="s">
        <v>790</v>
      </c>
      <c r="L53" s="21">
        <v>1</v>
      </c>
      <c r="M53" s="14">
        <f t="shared" si="1"/>
        <v>3</v>
      </c>
      <c r="N53" s="21">
        <v>5</v>
      </c>
      <c r="O53" s="53" t="s">
        <v>814</v>
      </c>
      <c r="P53" s="15">
        <v>7.4099999999999999E-2</v>
      </c>
      <c r="Q53" s="22">
        <f t="shared" ref="Q53" si="24">P53*N53</f>
        <v>0.3705</v>
      </c>
      <c r="R53" s="21"/>
      <c r="S53" s="21"/>
    </row>
    <row r="54" spans="1:19" ht="25.5" x14ac:dyDescent="0.25">
      <c r="A54" s="1"/>
      <c r="B54" s="16">
        <f>ROW(B54) - ROW($B$7)</f>
        <v>47</v>
      </c>
      <c r="C54" s="23" t="s">
        <v>12</v>
      </c>
      <c r="D54" s="14" t="s">
        <v>85</v>
      </c>
      <c r="E54" s="14" t="s">
        <v>236</v>
      </c>
      <c r="F54" s="14" t="s">
        <v>812</v>
      </c>
      <c r="G54" s="14" t="s">
        <v>360</v>
      </c>
      <c r="H54" s="14" t="s">
        <v>545</v>
      </c>
      <c r="I54" s="21" t="s">
        <v>790</v>
      </c>
      <c r="J54" s="14" t="s">
        <v>636</v>
      </c>
      <c r="K54" s="48" t="s">
        <v>790</v>
      </c>
      <c r="L54" s="14">
        <v>1</v>
      </c>
      <c r="M54" s="14">
        <f t="shared" si="1"/>
        <v>3</v>
      </c>
      <c r="N54" s="14">
        <v>4</v>
      </c>
      <c r="O54" s="53" t="s">
        <v>814</v>
      </c>
      <c r="P54" s="15">
        <v>4.0294999999999996</v>
      </c>
      <c r="Q54" s="15">
        <f>P54*N54</f>
        <v>16.117999999999999</v>
      </c>
      <c r="R54" s="14"/>
      <c r="S54" s="20"/>
    </row>
    <row r="55" spans="1:19" x14ac:dyDescent="0.25">
      <c r="A55" s="1"/>
      <c r="B55" s="17">
        <f t="shared" si="0"/>
        <v>48</v>
      </c>
      <c r="C55" s="24" t="s">
        <v>13</v>
      </c>
      <c r="D55" s="21" t="s">
        <v>86</v>
      </c>
      <c r="E55" s="21" t="s">
        <v>237</v>
      </c>
      <c r="F55" s="14" t="s">
        <v>812</v>
      </c>
      <c r="G55" s="21" t="s">
        <v>361</v>
      </c>
      <c r="H55" s="21" t="s">
        <v>546</v>
      </c>
      <c r="I55" s="21" t="s">
        <v>790</v>
      </c>
      <c r="J55" s="21" t="s">
        <v>637</v>
      </c>
      <c r="K55" s="43" t="s">
        <v>790</v>
      </c>
      <c r="L55" s="21">
        <v>1</v>
      </c>
      <c r="M55" s="14">
        <f t="shared" si="1"/>
        <v>3</v>
      </c>
      <c r="N55" s="21">
        <v>4</v>
      </c>
      <c r="O55" s="53" t="s">
        <v>814</v>
      </c>
      <c r="P55" s="15">
        <v>0.55059999999999998</v>
      </c>
      <c r="Q55" s="22">
        <f t="shared" ref="Q55" si="25">P55*N55</f>
        <v>2.2023999999999999</v>
      </c>
      <c r="R55" s="21"/>
      <c r="S55" s="21"/>
    </row>
    <row r="56" spans="1:19" ht="36" x14ac:dyDescent="0.25">
      <c r="A56" s="1"/>
      <c r="B56" s="16">
        <f>ROW(B56) - ROW($B$7)</f>
        <v>49</v>
      </c>
      <c r="C56" s="23" t="s">
        <v>14</v>
      </c>
      <c r="D56" s="14" t="s">
        <v>87</v>
      </c>
      <c r="E56" s="43" t="s">
        <v>869</v>
      </c>
      <c r="F56" s="14" t="s">
        <v>812</v>
      </c>
      <c r="G56" s="43" t="s">
        <v>870</v>
      </c>
      <c r="H56" s="14" t="s">
        <v>871</v>
      </c>
      <c r="I56" s="43" t="s">
        <v>790</v>
      </c>
      <c r="J56" s="14" t="s">
        <v>881</v>
      </c>
      <c r="K56" s="48" t="s">
        <v>790</v>
      </c>
      <c r="L56" s="14">
        <v>1</v>
      </c>
      <c r="M56" s="14">
        <f t="shared" si="1"/>
        <v>3</v>
      </c>
      <c r="N56" s="14">
        <v>10</v>
      </c>
      <c r="O56" s="53" t="s">
        <v>814</v>
      </c>
      <c r="P56" s="15">
        <v>4.2599999999999999E-2</v>
      </c>
      <c r="Q56" s="15">
        <f>P56*N56</f>
        <v>0.42599999999999999</v>
      </c>
      <c r="R56" s="14"/>
      <c r="S56" s="20"/>
    </row>
    <row r="57" spans="1:19" ht="36" x14ac:dyDescent="0.25">
      <c r="A57" s="1"/>
      <c r="B57" s="17">
        <f t="shared" si="0"/>
        <v>50</v>
      </c>
      <c r="C57" s="24" t="s">
        <v>14</v>
      </c>
      <c r="D57" s="21" t="s">
        <v>88</v>
      </c>
      <c r="E57" s="21" t="s">
        <v>238</v>
      </c>
      <c r="F57" s="14" t="s">
        <v>812</v>
      </c>
      <c r="G57" s="21" t="s">
        <v>362</v>
      </c>
      <c r="H57" s="21" t="s">
        <v>547</v>
      </c>
      <c r="I57" s="21" t="s">
        <v>790</v>
      </c>
      <c r="J57" s="21" t="s">
        <v>638</v>
      </c>
      <c r="K57" s="48" t="s">
        <v>790</v>
      </c>
      <c r="L57" s="21">
        <v>1</v>
      </c>
      <c r="M57" s="14">
        <f t="shared" si="1"/>
        <v>3</v>
      </c>
      <c r="N57" s="21">
        <v>20</v>
      </c>
      <c r="O57" s="53" t="s">
        <v>814</v>
      </c>
      <c r="P57" s="15">
        <v>1.9199999999999998E-2</v>
      </c>
      <c r="Q57" s="22">
        <f t="shared" ref="Q57" si="26">P57*N57</f>
        <v>0.38399999999999995</v>
      </c>
      <c r="R57" s="21"/>
      <c r="S57" s="21"/>
    </row>
    <row r="58" spans="1:19" ht="36" x14ac:dyDescent="0.25">
      <c r="A58" s="1"/>
      <c r="B58" s="16">
        <f>ROW(B58) - ROW($B$7)</f>
        <v>51</v>
      </c>
      <c r="C58" s="23" t="s">
        <v>15</v>
      </c>
      <c r="D58" s="14" t="s">
        <v>89</v>
      </c>
      <c r="E58" s="14" t="s">
        <v>239</v>
      </c>
      <c r="F58" s="14" t="s">
        <v>812</v>
      </c>
      <c r="G58" s="14" t="s">
        <v>363</v>
      </c>
      <c r="H58" s="14" t="s">
        <v>548</v>
      </c>
      <c r="I58" s="21" t="s">
        <v>790</v>
      </c>
      <c r="J58" s="14" t="s">
        <v>639</v>
      </c>
      <c r="K58" s="48" t="s">
        <v>790</v>
      </c>
      <c r="L58" s="14">
        <v>1</v>
      </c>
      <c r="M58" s="14">
        <f t="shared" si="1"/>
        <v>3</v>
      </c>
      <c r="N58" s="14">
        <v>5</v>
      </c>
      <c r="O58" s="53" t="s">
        <v>814</v>
      </c>
      <c r="P58" s="15">
        <v>0.1726</v>
      </c>
      <c r="Q58" s="15">
        <f>P58*N58</f>
        <v>0.86299999999999999</v>
      </c>
      <c r="R58" s="14"/>
      <c r="S58" s="20"/>
    </row>
    <row r="59" spans="1:19" ht="24" x14ac:dyDescent="0.25">
      <c r="A59" s="1"/>
      <c r="B59" s="17">
        <f t="shared" si="0"/>
        <v>52</v>
      </c>
      <c r="C59" s="24" t="s">
        <v>16</v>
      </c>
      <c r="D59" s="21" t="s">
        <v>90</v>
      </c>
      <c r="E59" s="21" t="s">
        <v>240</v>
      </c>
      <c r="F59" s="14" t="s">
        <v>812</v>
      </c>
      <c r="G59" s="21" t="s">
        <v>364</v>
      </c>
      <c r="H59" s="21" t="s">
        <v>545</v>
      </c>
      <c r="I59" s="21" t="s">
        <v>790</v>
      </c>
      <c r="J59" s="21" t="s">
        <v>640</v>
      </c>
      <c r="K59" s="48" t="s">
        <v>790</v>
      </c>
      <c r="L59" s="21">
        <v>1</v>
      </c>
      <c r="M59" s="14">
        <f t="shared" si="1"/>
        <v>3</v>
      </c>
      <c r="N59" s="21">
        <v>4</v>
      </c>
      <c r="O59" s="53" t="s">
        <v>814</v>
      </c>
      <c r="P59" s="15">
        <v>0.70579999999999998</v>
      </c>
      <c r="Q59" s="22">
        <f t="shared" ref="Q59" si="27">P59*N59</f>
        <v>2.8231999999999999</v>
      </c>
      <c r="R59" s="21"/>
      <c r="S59" s="21"/>
    </row>
    <row r="60" spans="1:19" ht="36" x14ac:dyDescent="0.25">
      <c r="A60" s="1"/>
      <c r="B60" s="16">
        <f>ROW(B60) - ROW($B$7)</f>
        <v>53</v>
      </c>
      <c r="C60" s="23" t="s">
        <v>17</v>
      </c>
      <c r="D60" s="14" t="s">
        <v>91</v>
      </c>
      <c r="E60" s="14" t="s">
        <v>241</v>
      </c>
      <c r="F60" s="14" t="s">
        <v>812</v>
      </c>
      <c r="G60" s="14" t="s">
        <v>365</v>
      </c>
      <c r="H60" s="14" t="s">
        <v>549</v>
      </c>
      <c r="I60" s="21" t="s">
        <v>790</v>
      </c>
      <c r="J60" s="14" t="s">
        <v>641</v>
      </c>
      <c r="K60" s="48" t="s">
        <v>790</v>
      </c>
      <c r="L60" s="14">
        <v>1</v>
      </c>
      <c r="M60" s="14">
        <f t="shared" si="1"/>
        <v>3</v>
      </c>
      <c r="N60" s="14">
        <v>4</v>
      </c>
      <c r="O60" s="53" t="s">
        <v>814</v>
      </c>
      <c r="P60" s="15">
        <v>0.42970000000000003</v>
      </c>
      <c r="Q60" s="15">
        <f>P60*N60</f>
        <v>1.7188000000000001</v>
      </c>
      <c r="R60" s="14"/>
      <c r="S60" s="20"/>
    </row>
    <row r="61" spans="1:19" ht="36" x14ac:dyDescent="0.25">
      <c r="A61" s="1"/>
      <c r="B61" s="17">
        <f t="shared" si="0"/>
        <v>54</v>
      </c>
      <c r="C61" s="24" t="s">
        <v>821</v>
      </c>
      <c r="D61" s="21" t="s">
        <v>92</v>
      </c>
      <c r="E61" s="21" t="s">
        <v>822</v>
      </c>
      <c r="F61" s="21" t="s">
        <v>812</v>
      </c>
      <c r="G61" s="21" t="s">
        <v>819</v>
      </c>
      <c r="H61" s="21" t="s">
        <v>823</v>
      </c>
      <c r="I61" s="21" t="s">
        <v>790</v>
      </c>
      <c r="J61" s="21" t="s">
        <v>824</v>
      </c>
      <c r="K61" s="48" t="s">
        <v>790</v>
      </c>
      <c r="L61" s="21">
        <v>1</v>
      </c>
      <c r="M61" s="14">
        <f t="shared" si="1"/>
        <v>3</v>
      </c>
      <c r="N61" s="21">
        <v>4</v>
      </c>
      <c r="O61" s="53" t="s">
        <v>814</v>
      </c>
      <c r="P61" s="15">
        <v>0.80400000000000005</v>
      </c>
      <c r="Q61" s="22">
        <f t="shared" ref="Q61" si="28">P61*N61</f>
        <v>3.2160000000000002</v>
      </c>
      <c r="R61" s="21"/>
      <c r="S61" s="21"/>
    </row>
    <row r="62" spans="1:19" ht="48" x14ac:dyDescent="0.25">
      <c r="A62" s="1"/>
      <c r="B62" s="17">
        <f t="shared" si="0"/>
        <v>55</v>
      </c>
      <c r="C62" s="24" t="s">
        <v>18</v>
      </c>
      <c r="D62" s="21" t="s">
        <v>93</v>
      </c>
      <c r="E62" s="21" t="s">
        <v>242</v>
      </c>
      <c r="F62" s="14" t="s">
        <v>812</v>
      </c>
      <c r="G62" s="21" t="s">
        <v>366</v>
      </c>
      <c r="H62" s="21" t="s">
        <v>551</v>
      </c>
      <c r="I62" s="21" t="s">
        <v>790</v>
      </c>
      <c r="J62" s="21" t="s">
        <v>642</v>
      </c>
      <c r="K62" s="48" t="s">
        <v>790</v>
      </c>
      <c r="L62" s="21">
        <v>2</v>
      </c>
      <c r="M62" s="14">
        <f t="shared" si="1"/>
        <v>6</v>
      </c>
      <c r="N62" s="21">
        <v>7</v>
      </c>
      <c r="O62" s="53" t="s">
        <v>814</v>
      </c>
      <c r="P62" s="15">
        <v>0.55000000000000004</v>
      </c>
      <c r="Q62" s="22">
        <f t="shared" ref="Q62" si="29">P62*N62</f>
        <v>3.8500000000000005</v>
      </c>
      <c r="R62" s="21"/>
      <c r="S62" s="21"/>
    </row>
    <row r="63" spans="1:19" ht="48" x14ac:dyDescent="0.25">
      <c r="A63" s="1"/>
      <c r="B63" s="16">
        <f>ROW(B63) - ROW($B$7)</f>
        <v>56</v>
      </c>
      <c r="C63" s="23" t="s">
        <v>19</v>
      </c>
      <c r="D63" s="14" t="s">
        <v>94</v>
      </c>
      <c r="E63" s="14" t="s">
        <v>243</v>
      </c>
      <c r="F63" s="14" t="s">
        <v>812</v>
      </c>
      <c r="G63" s="14" t="s">
        <v>367</v>
      </c>
      <c r="H63" s="14" t="s">
        <v>552</v>
      </c>
      <c r="I63" s="21" t="s">
        <v>790</v>
      </c>
      <c r="J63" s="14" t="s">
        <v>643</v>
      </c>
      <c r="K63" s="48" t="s">
        <v>790</v>
      </c>
      <c r="L63" s="14">
        <v>5</v>
      </c>
      <c r="M63" s="14">
        <f t="shared" si="1"/>
        <v>15</v>
      </c>
      <c r="N63" s="14">
        <v>20</v>
      </c>
      <c r="O63" s="53" t="s">
        <v>814</v>
      </c>
      <c r="P63" s="15">
        <v>9.8699999999999996E-2</v>
      </c>
      <c r="Q63" s="15">
        <f>P63*N63</f>
        <v>1.974</v>
      </c>
      <c r="R63" s="14"/>
      <c r="S63" s="20"/>
    </row>
    <row r="64" spans="1:19" ht="60" x14ac:dyDescent="0.25">
      <c r="A64" s="1"/>
      <c r="B64" s="17">
        <f t="shared" si="0"/>
        <v>57</v>
      </c>
      <c r="C64" s="24" t="s">
        <v>20</v>
      </c>
      <c r="D64" s="21" t="s">
        <v>95</v>
      </c>
      <c r="E64" s="21" t="s">
        <v>244</v>
      </c>
      <c r="F64" s="14" t="s">
        <v>812</v>
      </c>
      <c r="G64" s="21" t="s">
        <v>368</v>
      </c>
      <c r="H64" s="21" t="s">
        <v>547</v>
      </c>
      <c r="I64" s="21" t="s">
        <v>790</v>
      </c>
      <c r="J64" s="21" t="s">
        <v>644</v>
      </c>
      <c r="K64" s="48" t="s">
        <v>790</v>
      </c>
      <c r="L64" s="21">
        <v>1</v>
      </c>
      <c r="M64" s="14">
        <f t="shared" si="1"/>
        <v>3</v>
      </c>
      <c r="N64" s="21">
        <v>5</v>
      </c>
      <c r="O64" s="53" t="s">
        <v>814</v>
      </c>
      <c r="P64" s="15">
        <v>0.18920000000000001</v>
      </c>
      <c r="Q64" s="22">
        <f t="shared" ref="Q64" si="30">P64*N64</f>
        <v>0.94600000000000006</v>
      </c>
      <c r="R64" s="21"/>
      <c r="S64" s="21"/>
    </row>
    <row r="65" spans="1:19" x14ac:dyDescent="0.25">
      <c r="A65" s="1"/>
      <c r="B65" s="16">
        <f>ROW(B65) - ROW($B$7)</f>
        <v>58</v>
      </c>
      <c r="C65" s="23" t="s">
        <v>21</v>
      </c>
      <c r="D65" s="14" t="s">
        <v>96</v>
      </c>
      <c r="E65" s="14" t="s">
        <v>245</v>
      </c>
      <c r="F65" s="14" t="s">
        <v>812</v>
      </c>
      <c r="G65" s="14" t="s">
        <v>452</v>
      </c>
      <c r="H65" s="14" t="s">
        <v>553</v>
      </c>
      <c r="I65" s="21" t="s">
        <v>790</v>
      </c>
      <c r="J65" s="14" t="s">
        <v>645</v>
      </c>
      <c r="K65" s="48" t="s">
        <v>790</v>
      </c>
      <c r="L65" s="14">
        <v>1</v>
      </c>
      <c r="M65" s="14">
        <f t="shared" si="1"/>
        <v>3</v>
      </c>
      <c r="N65" s="14">
        <v>5</v>
      </c>
      <c r="O65" s="53" t="s">
        <v>814</v>
      </c>
      <c r="P65" s="15">
        <v>7.6700000000000004E-2</v>
      </c>
      <c r="Q65" s="15">
        <f>P65*N65</f>
        <v>0.38350000000000001</v>
      </c>
      <c r="R65" s="14"/>
      <c r="S65" s="20"/>
    </row>
    <row r="66" spans="1:19" x14ac:dyDescent="0.25">
      <c r="A66" s="1"/>
      <c r="B66" s="17">
        <f t="shared" si="0"/>
        <v>59</v>
      </c>
      <c r="C66" s="24" t="s">
        <v>22</v>
      </c>
      <c r="D66" s="21" t="s">
        <v>97</v>
      </c>
      <c r="E66" s="21" t="s">
        <v>246</v>
      </c>
      <c r="F66" s="14" t="s">
        <v>812</v>
      </c>
      <c r="G66" s="21" t="s">
        <v>453</v>
      </c>
      <c r="H66" s="21" t="s">
        <v>554</v>
      </c>
      <c r="I66" s="21" t="s">
        <v>790</v>
      </c>
      <c r="J66" s="21" t="s">
        <v>646</v>
      </c>
      <c r="K66" s="48" t="s">
        <v>790</v>
      </c>
      <c r="L66" s="21">
        <v>1</v>
      </c>
      <c r="M66" s="14">
        <f t="shared" si="1"/>
        <v>3</v>
      </c>
      <c r="N66" s="21">
        <v>5</v>
      </c>
      <c r="O66" s="53" t="s">
        <v>814</v>
      </c>
      <c r="P66" s="22">
        <v>0.2258</v>
      </c>
      <c r="Q66" s="22">
        <f t="shared" ref="Q66" si="31">P66*N66</f>
        <v>1.129</v>
      </c>
      <c r="R66" s="21"/>
      <c r="S66" s="21"/>
    </row>
    <row r="67" spans="1:19" ht="36" x14ac:dyDescent="0.25">
      <c r="A67" s="1"/>
      <c r="B67" s="16">
        <f>ROW(B67) - ROW($B$7)</f>
        <v>60</v>
      </c>
      <c r="C67" s="23" t="s">
        <v>14</v>
      </c>
      <c r="D67" s="14" t="s">
        <v>98</v>
      </c>
      <c r="E67" s="14" t="s">
        <v>247</v>
      </c>
      <c r="F67" s="14" t="s">
        <v>812</v>
      </c>
      <c r="G67" s="14" t="s">
        <v>369</v>
      </c>
      <c r="H67" s="14" t="s">
        <v>547</v>
      </c>
      <c r="I67" s="21" t="s">
        <v>790</v>
      </c>
      <c r="J67" s="14" t="s">
        <v>647</v>
      </c>
      <c r="K67" s="48" t="s">
        <v>790</v>
      </c>
      <c r="L67" s="14">
        <v>1</v>
      </c>
      <c r="M67" s="14">
        <f t="shared" si="1"/>
        <v>3</v>
      </c>
      <c r="N67" s="14">
        <v>50</v>
      </c>
      <c r="O67" s="53" t="s">
        <v>814</v>
      </c>
      <c r="P67" s="15">
        <v>1.2999999999999999E-2</v>
      </c>
      <c r="Q67" s="15">
        <f>P67*N67</f>
        <v>0.65</v>
      </c>
      <c r="R67" s="14"/>
      <c r="S67" s="20"/>
    </row>
    <row r="68" spans="1:19" ht="60" x14ac:dyDescent="0.25">
      <c r="A68" s="1"/>
      <c r="B68" s="17">
        <f t="shared" si="0"/>
        <v>61</v>
      </c>
      <c r="C68" s="24" t="s">
        <v>23</v>
      </c>
      <c r="D68" s="21" t="s">
        <v>99</v>
      </c>
      <c r="E68" s="21" t="s">
        <v>248</v>
      </c>
      <c r="F68" s="14" t="s">
        <v>812</v>
      </c>
      <c r="G68" s="21" t="s">
        <v>370</v>
      </c>
      <c r="H68" s="21" t="s">
        <v>555</v>
      </c>
      <c r="I68" s="21" t="s">
        <v>790</v>
      </c>
      <c r="J68" s="21" t="s">
        <v>648</v>
      </c>
      <c r="K68" s="48" t="s">
        <v>790</v>
      </c>
      <c r="L68" s="21">
        <v>2</v>
      </c>
      <c r="M68" s="14">
        <f t="shared" si="1"/>
        <v>6</v>
      </c>
      <c r="N68" s="21">
        <v>7</v>
      </c>
      <c r="O68" s="53" t="s">
        <v>814</v>
      </c>
      <c r="P68" s="22">
        <v>2.5537999999999998</v>
      </c>
      <c r="Q68" s="22">
        <f t="shared" ref="Q68" si="32">P68*N68</f>
        <v>17.8766</v>
      </c>
      <c r="R68" s="21"/>
      <c r="S68" s="21"/>
    </row>
    <row r="69" spans="1:19" ht="48" x14ac:dyDescent="0.25">
      <c r="A69" s="1"/>
      <c r="B69" s="16">
        <f>ROW(B69) - ROW($B$7)</f>
        <v>62</v>
      </c>
      <c r="C69" s="23" t="s">
        <v>24</v>
      </c>
      <c r="D69" s="14" t="s">
        <v>100</v>
      </c>
      <c r="E69" s="14" t="s">
        <v>249</v>
      </c>
      <c r="F69" s="14" t="s">
        <v>812</v>
      </c>
      <c r="G69" s="14" t="s">
        <v>371</v>
      </c>
      <c r="H69" s="14" t="s">
        <v>547</v>
      </c>
      <c r="I69" s="21" t="s">
        <v>790</v>
      </c>
      <c r="J69" s="14" t="s">
        <v>649</v>
      </c>
      <c r="K69" s="48" t="s">
        <v>790</v>
      </c>
      <c r="L69" s="14">
        <v>1</v>
      </c>
      <c r="M69" s="14">
        <f t="shared" si="1"/>
        <v>3</v>
      </c>
      <c r="N69" s="14">
        <v>50</v>
      </c>
      <c r="O69" s="53" t="s">
        <v>814</v>
      </c>
      <c r="P69" s="15">
        <v>1.4999999999999999E-2</v>
      </c>
      <c r="Q69" s="15">
        <f>P69*N69</f>
        <v>0.75</v>
      </c>
      <c r="R69" s="14"/>
      <c r="S69" s="20"/>
    </row>
    <row r="70" spans="1:19" ht="36" x14ac:dyDescent="0.25">
      <c r="A70" s="1"/>
      <c r="B70" s="17">
        <f t="shared" si="0"/>
        <v>63</v>
      </c>
      <c r="C70" s="24" t="s">
        <v>14</v>
      </c>
      <c r="D70" s="21" t="s">
        <v>101</v>
      </c>
      <c r="E70" s="21" t="s">
        <v>247</v>
      </c>
      <c r="F70" s="14" t="s">
        <v>812</v>
      </c>
      <c r="G70" s="21" t="s">
        <v>372</v>
      </c>
      <c r="H70" s="21" t="s">
        <v>547</v>
      </c>
      <c r="I70" s="21" t="s">
        <v>790</v>
      </c>
      <c r="J70" s="21" t="s">
        <v>650</v>
      </c>
      <c r="K70" s="48" t="s">
        <v>790</v>
      </c>
      <c r="L70" s="21">
        <v>1</v>
      </c>
      <c r="M70" s="14">
        <f t="shared" si="1"/>
        <v>3</v>
      </c>
      <c r="N70" s="21">
        <v>20</v>
      </c>
      <c r="O70" s="53" t="s">
        <v>814</v>
      </c>
      <c r="P70" s="22">
        <v>1.67E-2</v>
      </c>
      <c r="Q70" s="22">
        <f t="shared" ref="Q70" si="33">P70*N70</f>
        <v>0.33399999999999996</v>
      </c>
      <c r="R70" s="21"/>
      <c r="S70" s="21"/>
    </row>
    <row r="71" spans="1:19" ht="24" x14ac:dyDescent="0.25">
      <c r="A71" s="1"/>
      <c r="B71" s="16">
        <f>ROW(B71) - ROW($B$7)</f>
        <v>64</v>
      </c>
      <c r="C71" s="23" t="s">
        <v>25</v>
      </c>
      <c r="D71" s="14" t="s">
        <v>102</v>
      </c>
      <c r="E71" s="14" t="s">
        <v>250</v>
      </c>
      <c r="F71" s="14" t="s">
        <v>812</v>
      </c>
      <c r="G71" s="14" t="s">
        <v>373</v>
      </c>
      <c r="H71" s="14" t="s">
        <v>549</v>
      </c>
      <c r="I71" s="21" t="s">
        <v>790</v>
      </c>
      <c r="J71" s="14" t="s">
        <v>651</v>
      </c>
      <c r="K71" s="48" t="s">
        <v>790</v>
      </c>
      <c r="L71" s="14">
        <v>1</v>
      </c>
      <c r="M71" s="14">
        <f t="shared" si="1"/>
        <v>3</v>
      </c>
      <c r="N71" s="14">
        <v>4</v>
      </c>
      <c r="O71" s="53" t="s">
        <v>814</v>
      </c>
      <c r="P71" s="15">
        <v>0.33900000000000002</v>
      </c>
      <c r="Q71" s="15">
        <f>P71*N71</f>
        <v>1.3560000000000001</v>
      </c>
      <c r="R71" s="14"/>
      <c r="S71" s="20"/>
    </row>
    <row r="72" spans="1:19" x14ac:dyDescent="0.25">
      <c r="A72" s="1"/>
      <c r="B72" s="17">
        <f t="shared" si="0"/>
        <v>65</v>
      </c>
      <c r="C72" s="24" t="s">
        <v>26</v>
      </c>
      <c r="D72" s="21" t="s">
        <v>103</v>
      </c>
      <c r="E72" s="21" t="s">
        <v>251</v>
      </c>
      <c r="F72" s="14" t="s">
        <v>812</v>
      </c>
      <c r="G72" s="21" t="s">
        <v>374</v>
      </c>
      <c r="H72" s="21" t="s">
        <v>553</v>
      </c>
      <c r="I72" s="21" t="s">
        <v>790</v>
      </c>
      <c r="J72" s="21" t="s">
        <v>652</v>
      </c>
      <c r="K72" s="48" t="s">
        <v>790</v>
      </c>
      <c r="L72" s="21">
        <v>1</v>
      </c>
      <c r="M72" s="14">
        <f t="shared" si="1"/>
        <v>3</v>
      </c>
      <c r="N72" s="21">
        <v>5</v>
      </c>
      <c r="O72" s="53" t="s">
        <v>814</v>
      </c>
      <c r="P72" s="22">
        <v>0.27039999999999997</v>
      </c>
      <c r="Q72" s="22">
        <f t="shared" ref="Q72" si="34">P72*N72</f>
        <v>1.3519999999999999</v>
      </c>
      <c r="R72" s="21"/>
      <c r="S72" s="21"/>
    </row>
    <row r="73" spans="1:19" ht="36" x14ac:dyDescent="0.25">
      <c r="A73" s="1"/>
      <c r="B73" s="16">
        <f>ROW(B73) - ROW($B$7)</f>
        <v>66</v>
      </c>
      <c r="C73" s="23" t="s">
        <v>14</v>
      </c>
      <c r="D73" s="14" t="s">
        <v>104</v>
      </c>
      <c r="E73" s="14" t="s">
        <v>252</v>
      </c>
      <c r="F73" s="14" t="s">
        <v>812</v>
      </c>
      <c r="G73" s="14" t="s">
        <v>375</v>
      </c>
      <c r="H73" s="14" t="s">
        <v>547</v>
      </c>
      <c r="I73" s="21" t="s">
        <v>790</v>
      </c>
      <c r="J73" s="14" t="s">
        <v>653</v>
      </c>
      <c r="K73" s="48" t="s">
        <v>790</v>
      </c>
      <c r="L73" s="14">
        <v>2</v>
      </c>
      <c r="M73" s="14">
        <f t="shared" ref="M73:M136" si="35">L73*3</f>
        <v>6</v>
      </c>
      <c r="N73" s="14">
        <v>100</v>
      </c>
      <c r="O73" s="53" t="s">
        <v>814</v>
      </c>
      <c r="P73" s="15">
        <v>6.8999999999999999E-3</v>
      </c>
      <c r="Q73" s="15">
        <f>P73*N73</f>
        <v>0.69</v>
      </c>
      <c r="R73" s="14"/>
      <c r="S73" s="20"/>
    </row>
    <row r="74" spans="1:19" ht="24" x14ac:dyDescent="0.25">
      <c r="A74" s="1"/>
      <c r="B74" s="17">
        <f t="shared" si="0"/>
        <v>67</v>
      </c>
      <c r="C74" s="24" t="s">
        <v>22</v>
      </c>
      <c r="D74" s="21" t="s">
        <v>105</v>
      </c>
      <c r="E74" s="21" t="s">
        <v>253</v>
      </c>
      <c r="F74" s="14" t="s">
        <v>812</v>
      </c>
      <c r="G74" s="21" t="s">
        <v>376</v>
      </c>
      <c r="H74" s="21" t="s">
        <v>549</v>
      </c>
      <c r="I74" s="21" t="s">
        <v>790</v>
      </c>
      <c r="J74" s="21" t="s">
        <v>818</v>
      </c>
      <c r="K74" s="48" t="s">
        <v>790</v>
      </c>
      <c r="L74" s="21">
        <v>1</v>
      </c>
      <c r="M74" s="14">
        <f t="shared" si="35"/>
        <v>3</v>
      </c>
      <c r="N74" s="21">
        <v>4</v>
      </c>
      <c r="O74" s="53" t="s">
        <v>814</v>
      </c>
      <c r="P74" s="22">
        <v>0.49419999999999997</v>
      </c>
      <c r="Q74" s="22">
        <f t="shared" ref="Q74" si="36">P74*N74</f>
        <v>1.9767999999999999</v>
      </c>
      <c r="R74" s="21"/>
      <c r="S74" s="21"/>
    </row>
    <row r="75" spans="1:19" x14ac:dyDescent="0.25">
      <c r="A75" s="1"/>
      <c r="B75" s="16">
        <f>ROW(B75) - ROW($B$7)</f>
        <v>68</v>
      </c>
      <c r="C75" s="23" t="s">
        <v>27</v>
      </c>
      <c r="D75" s="14" t="s">
        <v>106</v>
      </c>
      <c r="E75" s="14" t="s">
        <v>254</v>
      </c>
      <c r="F75" s="14" t="s">
        <v>812</v>
      </c>
      <c r="G75" s="14" t="s">
        <v>454</v>
      </c>
      <c r="H75" s="14" t="s">
        <v>556</v>
      </c>
      <c r="I75" s="21" t="s">
        <v>790</v>
      </c>
      <c r="J75" s="14" t="s">
        <v>654</v>
      </c>
      <c r="K75" s="48" t="s">
        <v>790</v>
      </c>
      <c r="L75" s="14">
        <v>5</v>
      </c>
      <c r="M75" s="14">
        <f t="shared" si="35"/>
        <v>15</v>
      </c>
      <c r="N75" s="14">
        <v>16</v>
      </c>
      <c r="O75" s="53" t="s">
        <v>814</v>
      </c>
      <c r="P75" s="15">
        <v>0.72409999999999997</v>
      </c>
      <c r="Q75" s="15">
        <f>P75*N75</f>
        <v>11.585599999999999</v>
      </c>
      <c r="R75" s="14"/>
      <c r="S75" s="20"/>
    </row>
    <row r="76" spans="1:19" ht="25.5" x14ac:dyDescent="0.25">
      <c r="A76" s="1"/>
      <c r="B76" s="17">
        <f t="shared" si="0"/>
        <v>69</v>
      </c>
      <c r="C76" s="24" t="s">
        <v>825</v>
      </c>
      <c r="D76" s="21" t="s">
        <v>107</v>
      </c>
      <c r="E76" s="21" t="s">
        <v>845</v>
      </c>
      <c r="F76" s="21" t="s">
        <v>812</v>
      </c>
      <c r="G76" s="21" t="s">
        <v>858</v>
      </c>
      <c r="H76" s="21" t="s">
        <v>532</v>
      </c>
      <c r="I76" s="21" t="s">
        <v>790</v>
      </c>
      <c r="J76" s="21" t="s">
        <v>859</v>
      </c>
      <c r="K76" s="48" t="s">
        <v>790</v>
      </c>
      <c r="L76" s="21">
        <v>4</v>
      </c>
      <c r="M76" s="14">
        <f t="shared" si="35"/>
        <v>12</v>
      </c>
      <c r="N76" s="21">
        <v>15</v>
      </c>
      <c r="O76" s="53" t="s">
        <v>814</v>
      </c>
      <c r="P76" s="22">
        <v>8.8599999999999998E-2</v>
      </c>
      <c r="Q76" s="22">
        <f t="shared" ref="Q76" si="37">P76*N76</f>
        <v>1.329</v>
      </c>
      <c r="R76" s="21"/>
      <c r="S76" s="21"/>
    </row>
    <row r="77" spans="1:19" x14ac:dyDescent="0.25">
      <c r="A77" s="1"/>
      <c r="B77" s="16">
        <f>ROW(B77) - ROW($B$7)</f>
        <v>70</v>
      </c>
      <c r="C77" s="24" t="s">
        <v>28</v>
      </c>
      <c r="D77" s="14" t="s">
        <v>108</v>
      </c>
      <c r="E77" s="14" t="s">
        <v>255</v>
      </c>
      <c r="F77" s="14" t="s">
        <v>812</v>
      </c>
      <c r="G77" s="14" t="s">
        <v>455</v>
      </c>
      <c r="H77" s="14" t="s">
        <v>557</v>
      </c>
      <c r="I77" s="21" t="s">
        <v>790</v>
      </c>
      <c r="J77" s="14" t="s">
        <v>655</v>
      </c>
      <c r="K77" s="48" t="s">
        <v>742</v>
      </c>
      <c r="L77" s="14">
        <v>1</v>
      </c>
      <c r="M77" s="14">
        <f t="shared" si="35"/>
        <v>3</v>
      </c>
      <c r="N77" s="14">
        <v>10</v>
      </c>
      <c r="O77" s="53" t="s">
        <v>814</v>
      </c>
      <c r="P77" s="15">
        <v>4.6399999999999997E-2</v>
      </c>
      <c r="Q77" s="15">
        <f>P77*N77</f>
        <v>0.46399999999999997</v>
      </c>
      <c r="R77" s="14"/>
      <c r="S77" s="20"/>
    </row>
    <row r="78" spans="1:19" x14ac:dyDescent="0.25">
      <c r="A78" s="1"/>
      <c r="B78" s="17">
        <f t="shared" si="0"/>
        <v>71</v>
      </c>
      <c r="C78" s="24" t="s">
        <v>28</v>
      </c>
      <c r="D78" s="21" t="s">
        <v>109</v>
      </c>
      <c r="E78" s="21" t="s">
        <v>256</v>
      </c>
      <c r="F78" s="14" t="s">
        <v>812</v>
      </c>
      <c r="G78" s="21" t="s">
        <v>456</v>
      </c>
      <c r="H78" s="21" t="s">
        <v>558</v>
      </c>
      <c r="I78" s="21" t="s">
        <v>790</v>
      </c>
      <c r="J78" s="21" t="s">
        <v>656</v>
      </c>
      <c r="K78" s="43" t="s">
        <v>743</v>
      </c>
      <c r="L78" s="21">
        <v>2</v>
      </c>
      <c r="M78" s="14">
        <f t="shared" si="35"/>
        <v>6</v>
      </c>
      <c r="N78" s="21">
        <v>10</v>
      </c>
      <c r="O78" s="53" t="s">
        <v>814</v>
      </c>
      <c r="P78" s="22">
        <v>6.7699999999999996E-2</v>
      </c>
      <c r="Q78" s="22">
        <f t="shared" ref="Q78" si="38">P78*N78</f>
        <v>0.67699999999999994</v>
      </c>
      <c r="R78" s="21"/>
      <c r="S78" s="21"/>
    </row>
    <row r="79" spans="1:19" ht="24" x14ac:dyDescent="0.25">
      <c r="A79" s="1"/>
      <c r="B79" s="16">
        <f>ROW(B79) - ROW($B$7)</f>
        <v>72</v>
      </c>
      <c r="C79" s="23" t="s">
        <v>28</v>
      </c>
      <c r="D79" s="14" t="s">
        <v>110</v>
      </c>
      <c r="E79" s="14" t="s">
        <v>257</v>
      </c>
      <c r="F79" s="14" t="s">
        <v>812</v>
      </c>
      <c r="G79" s="14" t="s">
        <v>377</v>
      </c>
      <c r="H79" s="14" t="s">
        <v>559</v>
      </c>
      <c r="I79" s="21" t="s">
        <v>790</v>
      </c>
      <c r="J79" s="14" t="s">
        <v>657</v>
      </c>
      <c r="K79" s="48" t="s">
        <v>744</v>
      </c>
      <c r="L79" s="14">
        <v>2</v>
      </c>
      <c r="M79" s="14">
        <f t="shared" si="35"/>
        <v>6</v>
      </c>
      <c r="N79" s="14">
        <v>7</v>
      </c>
      <c r="O79" s="53" t="s">
        <v>814</v>
      </c>
      <c r="P79" s="15">
        <v>0.79559999999999997</v>
      </c>
      <c r="Q79" s="15">
        <f>P79*N79</f>
        <v>5.5691999999999995</v>
      </c>
      <c r="R79" s="14"/>
      <c r="S79" s="20"/>
    </row>
    <row r="80" spans="1:19" ht="24" x14ac:dyDescent="0.25">
      <c r="A80" s="1"/>
      <c r="B80" s="17">
        <f t="shared" si="0"/>
        <v>73</v>
      </c>
      <c r="C80" s="24" t="s">
        <v>29</v>
      </c>
      <c r="D80" s="21" t="s">
        <v>111</v>
      </c>
      <c r="E80" s="21" t="s">
        <v>258</v>
      </c>
      <c r="F80" s="14" t="s">
        <v>378</v>
      </c>
      <c r="G80" s="21" t="s">
        <v>457</v>
      </c>
      <c r="H80" s="21" t="s">
        <v>560</v>
      </c>
      <c r="I80" s="21" t="s">
        <v>790</v>
      </c>
      <c r="J80" s="21" t="s">
        <v>658</v>
      </c>
      <c r="K80" s="43" t="s">
        <v>790</v>
      </c>
      <c r="L80" s="21">
        <v>1</v>
      </c>
      <c r="M80" s="14">
        <f t="shared" si="35"/>
        <v>3</v>
      </c>
      <c r="N80" s="21">
        <v>20</v>
      </c>
      <c r="O80" s="53" t="s">
        <v>814</v>
      </c>
      <c r="P80" s="22">
        <v>2.18E-2</v>
      </c>
      <c r="Q80" s="22">
        <f t="shared" ref="Q80" si="39">P80*N80</f>
        <v>0.436</v>
      </c>
      <c r="R80" s="21"/>
      <c r="S80" s="21"/>
    </row>
    <row r="81" spans="1:19" ht="24" x14ac:dyDescent="0.25">
      <c r="A81" s="1"/>
      <c r="B81" s="16">
        <f>ROW(B81) - ROW($B$7)</f>
        <v>74</v>
      </c>
      <c r="C81" s="23" t="s">
        <v>29</v>
      </c>
      <c r="D81" s="14" t="s">
        <v>112</v>
      </c>
      <c r="E81" s="14" t="s">
        <v>259</v>
      </c>
      <c r="F81" s="21" t="s">
        <v>378</v>
      </c>
      <c r="G81" s="14" t="s">
        <v>458</v>
      </c>
      <c r="H81" s="14" t="s">
        <v>560</v>
      </c>
      <c r="I81" s="21" t="s">
        <v>790</v>
      </c>
      <c r="J81" s="14" t="s">
        <v>659</v>
      </c>
      <c r="K81" s="48" t="s">
        <v>790</v>
      </c>
      <c r="L81" s="14">
        <v>2</v>
      </c>
      <c r="M81" s="14">
        <f t="shared" si="35"/>
        <v>6</v>
      </c>
      <c r="N81" s="14">
        <v>20</v>
      </c>
      <c r="O81" s="53" t="s">
        <v>814</v>
      </c>
      <c r="P81" s="15">
        <v>2.18E-2</v>
      </c>
      <c r="Q81" s="15">
        <f>P81*N81</f>
        <v>0.436</v>
      </c>
      <c r="R81" s="14"/>
      <c r="S81" s="20"/>
    </row>
    <row r="82" spans="1:19" ht="24" x14ac:dyDescent="0.25">
      <c r="A82" s="1"/>
      <c r="B82" s="17">
        <f t="shared" si="0"/>
        <v>75</v>
      </c>
      <c r="C82" s="24" t="s">
        <v>29</v>
      </c>
      <c r="D82" s="21" t="s">
        <v>113</v>
      </c>
      <c r="E82" s="21" t="s">
        <v>260</v>
      </c>
      <c r="F82" s="14" t="s">
        <v>378</v>
      </c>
      <c r="G82" s="21" t="s">
        <v>459</v>
      </c>
      <c r="H82" s="21" t="s">
        <v>560</v>
      </c>
      <c r="I82" s="21" t="s">
        <v>790</v>
      </c>
      <c r="J82" s="21" t="s">
        <v>660</v>
      </c>
      <c r="K82" s="43" t="s">
        <v>790</v>
      </c>
      <c r="L82" s="21">
        <v>1</v>
      </c>
      <c r="M82" s="14">
        <f t="shared" si="35"/>
        <v>3</v>
      </c>
      <c r="N82" s="21">
        <v>20</v>
      </c>
      <c r="O82" s="53" t="s">
        <v>814</v>
      </c>
      <c r="P82" s="22">
        <v>1.9599999999999999E-2</v>
      </c>
      <c r="Q82" s="22">
        <f t="shared" ref="Q82" si="40">P82*N82</f>
        <v>0.39200000000000002</v>
      </c>
      <c r="R82" s="21"/>
      <c r="S82" s="21"/>
    </row>
    <row r="83" spans="1:19" x14ac:dyDescent="0.25">
      <c r="A83" s="1"/>
      <c r="B83" s="16">
        <f>ROW(B83) - ROW($B$7)</f>
        <v>76</v>
      </c>
      <c r="C83" s="23" t="s">
        <v>29</v>
      </c>
      <c r="D83" s="14" t="s">
        <v>114</v>
      </c>
      <c r="E83" s="14" t="s">
        <v>261</v>
      </c>
      <c r="F83" s="21" t="s">
        <v>379</v>
      </c>
      <c r="G83" s="45" t="s">
        <v>460</v>
      </c>
      <c r="H83" s="14" t="s">
        <v>561</v>
      </c>
      <c r="I83" s="14" t="s">
        <v>838</v>
      </c>
      <c r="J83" s="14" t="s">
        <v>835</v>
      </c>
      <c r="K83" s="43" t="s">
        <v>790</v>
      </c>
      <c r="L83" s="14">
        <v>1</v>
      </c>
      <c r="M83" s="14">
        <f t="shared" si="35"/>
        <v>3</v>
      </c>
      <c r="N83" s="14">
        <v>50</v>
      </c>
      <c r="O83" s="53" t="s">
        <v>814</v>
      </c>
      <c r="P83" s="15">
        <v>1.18E-2</v>
      </c>
      <c r="Q83" s="15">
        <f>P83*N83</f>
        <v>0.59</v>
      </c>
      <c r="R83" s="14"/>
      <c r="S83" s="20"/>
    </row>
    <row r="84" spans="1:19" x14ac:dyDescent="0.25">
      <c r="A84" s="1"/>
      <c r="B84" s="17">
        <f t="shared" si="0"/>
        <v>77</v>
      </c>
      <c r="C84" s="24" t="s">
        <v>29</v>
      </c>
      <c r="D84" s="21" t="s">
        <v>115</v>
      </c>
      <c r="E84" s="21" t="s">
        <v>262</v>
      </c>
      <c r="F84" s="14" t="s">
        <v>379</v>
      </c>
      <c r="G84" s="45" t="s">
        <v>461</v>
      </c>
      <c r="H84" s="21" t="s">
        <v>561</v>
      </c>
      <c r="I84" s="21" t="s">
        <v>837</v>
      </c>
      <c r="J84" s="21" t="s">
        <v>836</v>
      </c>
      <c r="K84" s="43" t="s">
        <v>790</v>
      </c>
      <c r="L84" s="21">
        <v>1</v>
      </c>
      <c r="M84" s="14">
        <f t="shared" si="35"/>
        <v>3</v>
      </c>
      <c r="N84" s="21">
        <v>100</v>
      </c>
      <c r="O84" s="53" t="s">
        <v>814</v>
      </c>
      <c r="P84" s="22">
        <v>6.1000000000000004E-3</v>
      </c>
      <c r="Q84" s="22">
        <f t="shared" ref="Q84" si="41">P84*N84</f>
        <v>0.61</v>
      </c>
      <c r="R84" s="21"/>
      <c r="S84" s="21"/>
    </row>
    <row r="85" spans="1:19" x14ac:dyDescent="0.25">
      <c r="A85" s="1"/>
      <c r="B85" s="16">
        <f>ROW(B85) - ROW($B$7)</f>
        <v>78</v>
      </c>
      <c r="C85" s="23" t="s">
        <v>29</v>
      </c>
      <c r="D85" s="14" t="s">
        <v>116</v>
      </c>
      <c r="E85" s="14" t="s">
        <v>263</v>
      </c>
      <c r="F85" s="21" t="s">
        <v>379</v>
      </c>
      <c r="G85" s="45" t="s">
        <v>462</v>
      </c>
      <c r="H85" s="14" t="s">
        <v>561</v>
      </c>
      <c r="I85" s="14" t="s">
        <v>839</v>
      </c>
      <c r="J85" s="14" t="s">
        <v>840</v>
      </c>
      <c r="K85" s="43" t="s">
        <v>790</v>
      </c>
      <c r="L85" s="14">
        <v>1</v>
      </c>
      <c r="M85" s="14">
        <f t="shared" si="35"/>
        <v>3</v>
      </c>
      <c r="N85" s="14">
        <v>50</v>
      </c>
      <c r="O85" s="53" t="s">
        <v>814</v>
      </c>
      <c r="P85" s="15">
        <v>1.6E-2</v>
      </c>
      <c r="Q85" s="15">
        <f>P85*N85</f>
        <v>0.8</v>
      </c>
      <c r="R85" s="14"/>
      <c r="S85" s="20"/>
    </row>
    <row r="86" spans="1:19" ht="24" x14ac:dyDescent="0.25">
      <c r="A86" s="1"/>
      <c r="B86" s="17">
        <f t="shared" si="0"/>
        <v>79</v>
      </c>
      <c r="C86" s="24" t="s">
        <v>30</v>
      </c>
      <c r="D86" s="21" t="s">
        <v>117</v>
      </c>
      <c r="E86" s="21" t="s">
        <v>264</v>
      </c>
      <c r="F86" s="14" t="s">
        <v>380</v>
      </c>
      <c r="G86" s="21" t="s">
        <v>463</v>
      </c>
      <c r="H86" s="21" t="s">
        <v>562</v>
      </c>
      <c r="I86" s="21" t="s">
        <v>790</v>
      </c>
      <c r="J86" s="21" t="s">
        <v>661</v>
      </c>
      <c r="K86" s="43" t="s">
        <v>790</v>
      </c>
      <c r="L86" s="21">
        <v>6</v>
      </c>
      <c r="M86" s="14">
        <f t="shared" si="35"/>
        <v>18</v>
      </c>
      <c r="N86" s="21">
        <v>20</v>
      </c>
      <c r="O86" s="53" t="s">
        <v>814</v>
      </c>
      <c r="P86" s="22">
        <v>7.7600000000000002E-2</v>
      </c>
      <c r="Q86" s="22">
        <f t="shared" ref="Q86" si="42">P86*N86</f>
        <v>1.552</v>
      </c>
      <c r="R86" s="21"/>
      <c r="S86" s="21"/>
    </row>
    <row r="87" spans="1:19" ht="36" x14ac:dyDescent="0.25">
      <c r="A87" s="1"/>
      <c r="B87" s="16">
        <f>ROW(B87) - ROW($B$7)</f>
        <v>80</v>
      </c>
      <c r="C87" s="23" t="s">
        <v>31</v>
      </c>
      <c r="D87" s="14" t="s">
        <v>118</v>
      </c>
      <c r="E87" s="14" t="s">
        <v>265</v>
      </c>
      <c r="F87" s="21" t="s">
        <v>381</v>
      </c>
      <c r="G87" s="14" t="s">
        <v>464</v>
      </c>
      <c r="H87" s="14" t="s">
        <v>563</v>
      </c>
      <c r="I87" s="21" t="s">
        <v>790</v>
      </c>
      <c r="J87" s="14" t="s">
        <v>662</v>
      </c>
      <c r="K87" s="43" t="s">
        <v>790</v>
      </c>
      <c r="L87" s="14">
        <v>1</v>
      </c>
      <c r="M87" s="14">
        <f t="shared" si="35"/>
        <v>3</v>
      </c>
      <c r="N87" s="14">
        <v>4</v>
      </c>
      <c r="O87" s="53" t="s">
        <v>814</v>
      </c>
      <c r="P87" s="15">
        <v>0.437</v>
      </c>
      <c r="Q87" s="15">
        <f>P87*N87</f>
        <v>1.748</v>
      </c>
      <c r="R87" s="14"/>
      <c r="S87" s="20"/>
    </row>
    <row r="88" spans="1:19" x14ac:dyDescent="0.25">
      <c r="A88" s="1"/>
      <c r="B88" s="17">
        <f t="shared" si="0"/>
        <v>81</v>
      </c>
      <c r="C88" s="24" t="s">
        <v>31</v>
      </c>
      <c r="D88" s="21" t="s">
        <v>119</v>
      </c>
      <c r="E88" s="21" t="s">
        <v>266</v>
      </c>
      <c r="F88" s="14" t="s">
        <v>353</v>
      </c>
      <c r="G88" s="21" t="s">
        <v>465</v>
      </c>
      <c r="H88" s="21" t="s">
        <v>536</v>
      </c>
      <c r="I88" s="21" t="s">
        <v>790</v>
      </c>
      <c r="J88" s="21" t="s">
        <v>663</v>
      </c>
      <c r="K88" s="43" t="s">
        <v>790</v>
      </c>
      <c r="L88" s="21">
        <v>4</v>
      </c>
      <c r="M88" s="14">
        <f t="shared" si="35"/>
        <v>12</v>
      </c>
      <c r="N88" s="21">
        <v>15</v>
      </c>
      <c r="O88" s="53" t="s">
        <v>814</v>
      </c>
      <c r="P88" s="22">
        <v>6.6900000000000001E-2</v>
      </c>
      <c r="Q88" s="22">
        <f t="shared" ref="Q88" si="43">P88*N88</f>
        <v>1.0035000000000001</v>
      </c>
      <c r="R88" s="21"/>
      <c r="S88" s="21"/>
    </row>
    <row r="89" spans="1:19" ht="24" x14ac:dyDescent="0.25">
      <c r="A89" s="1"/>
      <c r="B89" s="16">
        <f>ROW(B89) - ROW($B$7)</f>
        <v>82</v>
      </c>
      <c r="C89" s="24" t="s">
        <v>33</v>
      </c>
      <c r="D89" s="21" t="s">
        <v>120</v>
      </c>
      <c r="E89" s="21" t="s">
        <v>268</v>
      </c>
      <c r="F89" s="14" t="s">
        <v>353</v>
      </c>
      <c r="G89" s="21" t="s">
        <v>467</v>
      </c>
      <c r="H89" s="21" t="s">
        <v>565</v>
      </c>
      <c r="I89" s="21" t="s">
        <v>790</v>
      </c>
      <c r="J89" s="21" t="s">
        <v>665</v>
      </c>
      <c r="K89" s="43" t="s">
        <v>790</v>
      </c>
      <c r="L89" s="21">
        <v>5</v>
      </c>
      <c r="M89" s="14">
        <f t="shared" si="35"/>
        <v>15</v>
      </c>
      <c r="N89" s="21">
        <v>50</v>
      </c>
      <c r="O89" s="53" t="s">
        <v>814</v>
      </c>
      <c r="P89" s="15">
        <v>9.9000000000000008E-3</v>
      </c>
      <c r="Q89" s="22">
        <f t="shared" ref="Q89" si="44">P89*N89</f>
        <v>0.49500000000000005</v>
      </c>
      <c r="R89" s="21"/>
      <c r="S89" s="21"/>
    </row>
    <row r="90" spans="1:19" ht="24" x14ac:dyDescent="0.25">
      <c r="A90" s="1"/>
      <c r="B90" s="17">
        <f t="shared" si="0"/>
        <v>83</v>
      </c>
      <c r="C90" s="23" t="s">
        <v>32</v>
      </c>
      <c r="D90" s="14" t="s">
        <v>872</v>
      </c>
      <c r="E90" s="14" t="s">
        <v>267</v>
      </c>
      <c r="F90" s="21" t="s">
        <v>353</v>
      </c>
      <c r="G90" s="14" t="s">
        <v>466</v>
      </c>
      <c r="H90" s="14" t="s">
        <v>564</v>
      </c>
      <c r="I90" s="21" t="s">
        <v>790</v>
      </c>
      <c r="J90" s="14" t="s">
        <v>664</v>
      </c>
      <c r="K90" s="43" t="s">
        <v>790</v>
      </c>
      <c r="L90" s="14">
        <v>1</v>
      </c>
      <c r="M90" s="14">
        <f t="shared" si="35"/>
        <v>3</v>
      </c>
      <c r="N90" s="14">
        <v>50</v>
      </c>
      <c r="O90" s="53" t="s">
        <v>814</v>
      </c>
      <c r="P90" s="15">
        <v>1.3599999999999999E-2</v>
      </c>
      <c r="Q90" s="15">
        <f>P90*N90</f>
        <v>0.67999999999999994</v>
      </c>
      <c r="R90" s="14"/>
      <c r="S90" s="20"/>
    </row>
    <row r="91" spans="1:19" ht="24" x14ac:dyDescent="0.25">
      <c r="A91" s="1"/>
      <c r="B91" s="16"/>
      <c r="C91" s="23" t="s">
        <v>33</v>
      </c>
      <c r="D91" s="14" t="s">
        <v>121</v>
      </c>
      <c r="E91" s="14" t="s">
        <v>269</v>
      </c>
      <c r="F91" s="21" t="s">
        <v>353</v>
      </c>
      <c r="G91" s="14" t="s">
        <v>468</v>
      </c>
      <c r="H91" s="14" t="s">
        <v>566</v>
      </c>
      <c r="I91" s="21" t="s">
        <v>790</v>
      </c>
      <c r="J91" s="14" t="s">
        <v>666</v>
      </c>
      <c r="K91" s="43" t="s">
        <v>790</v>
      </c>
      <c r="L91" s="14">
        <v>1</v>
      </c>
      <c r="M91" s="14">
        <f t="shared" si="35"/>
        <v>3</v>
      </c>
      <c r="N91" s="14">
        <v>5</v>
      </c>
      <c r="O91" s="53" t="s">
        <v>814</v>
      </c>
      <c r="P91" s="15">
        <v>0.123</v>
      </c>
      <c r="Q91" s="15">
        <f>P91*N91</f>
        <v>0.61499999999999999</v>
      </c>
      <c r="R91" s="14"/>
      <c r="S91" s="20"/>
    </row>
    <row r="92" spans="1:19" x14ac:dyDescent="0.25">
      <c r="A92" s="1"/>
      <c r="B92" s="16">
        <f>ROW(B92) - ROW($B$7)</f>
        <v>85</v>
      </c>
      <c r="C92" s="24" t="s">
        <v>32</v>
      </c>
      <c r="D92" s="21" t="s">
        <v>122</v>
      </c>
      <c r="E92" s="21" t="s">
        <v>270</v>
      </c>
      <c r="F92" s="14" t="s">
        <v>382</v>
      </c>
      <c r="G92" s="21" t="s">
        <v>469</v>
      </c>
      <c r="H92" s="21" t="s">
        <v>567</v>
      </c>
      <c r="I92" s="21" t="s">
        <v>790</v>
      </c>
      <c r="J92" s="21" t="s">
        <v>667</v>
      </c>
      <c r="K92" s="43" t="s">
        <v>790</v>
      </c>
      <c r="L92" s="21">
        <v>1</v>
      </c>
      <c r="M92" s="14">
        <f t="shared" si="35"/>
        <v>3</v>
      </c>
      <c r="N92" s="21">
        <v>20</v>
      </c>
      <c r="O92" s="53" t="s">
        <v>814</v>
      </c>
      <c r="P92" s="15">
        <v>2.3300000000000001E-2</v>
      </c>
      <c r="Q92" s="22">
        <f t="shared" ref="Q92" si="45">P92*N92</f>
        <v>0.46600000000000003</v>
      </c>
      <c r="R92" s="21"/>
      <c r="S92" s="21"/>
    </row>
    <row r="93" spans="1:19" ht="48" x14ac:dyDescent="0.25">
      <c r="A93" s="1"/>
      <c r="B93" s="17">
        <f t="shared" si="0"/>
        <v>86</v>
      </c>
      <c r="C93" s="23" t="s">
        <v>31</v>
      </c>
      <c r="D93" s="14" t="s">
        <v>123</v>
      </c>
      <c r="E93" s="14" t="s">
        <v>271</v>
      </c>
      <c r="F93" s="21" t="s">
        <v>383</v>
      </c>
      <c r="G93" s="14" t="s">
        <v>470</v>
      </c>
      <c r="H93" s="14" t="s">
        <v>536</v>
      </c>
      <c r="I93" s="21" t="s">
        <v>790</v>
      </c>
      <c r="J93" s="14" t="s">
        <v>668</v>
      </c>
      <c r="K93" s="43" t="s">
        <v>790</v>
      </c>
      <c r="L93" s="14">
        <v>1</v>
      </c>
      <c r="M93" s="14">
        <f t="shared" si="35"/>
        <v>3</v>
      </c>
      <c r="N93" s="14">
        <v>20</v>
      </c>
      <c r="O93" s="53" t="s">
        <v>814</v>
      </c>
      <c r="P93" s="15">
        <v>2.8000000000000001E-2</v>
      </c>
      <c r="Q93" s="15">
        <f>P93*N93</f>
        <v>0.56000000000000005</v>
      </c>
      <c r="R93" s="14"/>
      <c r="S93" s="20"/>
    </row>
    <row r="94" spans="1:19" ht="84" x14ac:dyDescent="0.25">
      <c r="A94" s="1"/>
      <c r="B94" s="16">
        <f>ROW(B94) - ROW($B$7)</f>
        <v>87</v>
      </c>
      <c r="C94" s="24" t="s">
        <v>34</v>
      </c>
      <c r="D94" s="21" t="s">
        <v>124</v>
      </c>
      <c r="E94" s="21" t="s">
        <v>272</v>
      </c>
      <c r="F94" s="14" t="s">
        <v>384</v>
      </c>
      <c r="G94" s="21" t="s">
        <v>471</v>
      </c>
      <c r="H94" s="21" t="s">
        <v>530</v>
      </c>
      <c r="I94" s="21" t="s">
        <v>790</v>
      </c>
      <c r="J94" s="21" t="s">
        <v>669</v>
      </c>
      <c r="K94" s="43" t="s">
        <v>745</v>
      </c>
      <c r="L94" s="21">
        <v>40</v>
      </c>
      <c r="M94" s="14">
        <f t="shared" si="35"/>
        <v>120</v>
      </c>
      <c r="N94" s="21">
        <v>100</v>
      </c>
      <c r="O94" s="53" t="s">
        <v>814</v>
      </c>
      <c r="P94" s="15">
        <v>5.0000000000000001E-4</v>
      </c>
      <c r="Q94" s="22">
        <f t="shared" ref="Q94" si="46">P94*N94</f>
        <v>0.05</v>
      </c>
      <c r="R94" s="21"/>
      <c r="S94" s="21"/>
    </row>
    <row r="95" spans="1:19" x14ac:dyDescent="0.25">
      <c r="A95" s="1"/>
      <c r="B95" s="17">
        <f t="shared" si="0"/>
        <v>88</v>
      </c>
      <c r="C95" s="23" t="s">
        <v>34</v>
      </c>
      <c r="D95" s="14" t="s">
        <v>125</v>
      </c>
      <c r="E95" s="14" t="s">
        <v>273</v>
      </c>
      <c r="F95" s="21" t="s">
        <v>384</v>
      </c>
      <c r="G95" s="14" t="s">
        <v>472</v>
      </c>
      <c r="H95" s="14" t="s">
        <v>530</v>
      </c>
      <c r="I95" s="14" t="s">
        <v>790</v>
      </c>
      <c r="J95" s="14" t="s">
        <v>670</v>
      </c>
      <c r="K95" s="48" t="s">
        <v>746</v>
      </c>
      <c r="L95" s="14">
        <v>6</v>
      </c>
      <c r="M95" s="14">
        <f t="shared" si="35"/>
        <v>18</v>
      </c>
      <c r="N95" s="14">
        <v>100</v>
      </c>
      <c r="O95" s="53" t="s">
        <v>814</v>
      </c>
      <c r="P95" s="15">
        <v>5.0000000000000001E-4</v>
      </c>
      <c r="Q95" s="15">
        <f>P95*N95</f>
        <v>0.05</v>
      </c>
      <c r="R95" s="14"/>
      <c r="S95" s="20"/>
    </row>
    <row r="96" spans="1:19" x14ac:dyDescent="0.25">
      <c r="A96" s="1"/>
      <c r="B96" s="16">
        <f>ROW(B96) - ROW($B$7)</f>
        <v>89</v>
      </c>
      <c r="C96" s="24" t="s">
        <v>34</v>
      </c>
      <c r="D96" s="21" t="s">
        <v>126</v>
      </c>
      <c r="E96" s="21" t="s">
        <v>274</v>
      </c>
      <c r="F96" s="14" t="s">
        <v>384</v>
      </c>
      <c r="G96" s="21" t="s">
        <v>473</v>
      </c>
      <c r="H96" s="21" t="s">
        <v>530</v>
      </c>
      <c r="I96" s="14" t="s">
        <v>790</v>
      </c>
      <c r="J96" s="21" t="s">
        <v>671</v>
      </c>
      <c r="K96" s="43" t="s">
        <v>747</v>
      </c>
      <c r="L96" s="21">
        <v>7</v>
      </c>
      <c r="M96" s="14">
        <f t="shared" si="35"/>
        <v>21</v>
      </c>
      <c r="N96" s="21">
        <v>100</v>
      </c>
      <c r="O96" s="53" t="s">
        <v>814</v>
      </c>
      <c r="P96" s="15">
        <v>2.5999999999999999E-3</v>
      </c>
      <c r="Q96" s="22">
        <f t="shared" ref="Q96" si="47">P96*N96</f>
        <v>0.26</v>
      </c>
      <c r="R96" s="21"/>
      <c r="S96" s="21"/>
    </row>
    <row r="97" spans="1:19" ht="108" x14ac:dyDescent="0.25">
      <c r="A97" s="1"/>
      <c r="B97" s="17">
        <f t="shared" si="0"/>
        <v>90</v>
      </c>
      <c r="C97" s="23" t="s">
        <v>34</v>
      </c>
      <c r="D97" s="14" t="s">
        <v>873</v>
      </c>
      <c r="E97" s="14" t="s">
        <v>275</v>
      </c>
      <c r="F97" s="21" t="s">
        <v>384</v>
      </c>
      <c r="G97" s="14" t="s">
        <v>474</v>
      </c>
      <c r="H97" s="14" t="s">
        <v>530</v>
      </c>
      <c r="I97" s="14" t="s">
        <v>790</v>
      </c>
      <c r="J97" s="14" t="s">
        <v>672</v>
      </c>
      <c r="K97" s="48" t="s">
        <v>748</v>
      </c>
      <c r="L97" s="14">
        <v>47</v>
      </c>
      <c r="M97" s="14">
        <f t="shared" si="35"/>
        <v>141</v>
      </c>
      <c r="N97" s="14">
        <v>200</v>
      </c>
      <c r="O97" s="53" t="s">
        <v>814</v>
      </c>
      <c r="P97" s="15">
        <v>5.9999999999999995E-4</v>
      </c>
      <c r="Q97" s="15">
        <f>P97*N97</f>
        <v>0.12</v>
      </c>
      <c r="R97" s="14"/>
      <c r="S97" s="20"/>
    </row>
    <row r="98" spans="1:19" x14ac:dyDescent="0.25">
      <c r="A98" s="1"/>
      <c r="B98" s="16">
        <f>ROW(B98) - ROW($B$7)</f>
        <v>91</v>
      </c>
      <c r="C98" s="24" t="s">
        <v>34</v>
      </c>
      <c r="D98" s="21" t="s">
        <v>127</v>
      </c>
      <c r="E98" s="21" t="s">
        <v>276</v>
      </c>
      <c r="F98" s="14" t="s">
        <v>384</v>
      </c>
      <c r="G98" s="21" t="s">
        <v>475</v>
      </c>
      <c r="H98" s="21" t="s">
        <v>530</v>
      </c>
      <c r="I98" s="14" t="s">
        <v>790</v>
      </c>
      <c r="J98" s="21" t="s">
        <v>673</v>
      </c>
      <c r="K98" s="43" t="s">
        <v>749</v>
      </c>
      <c r="L98" s="21">
        <v>7</v>
      </c>
      <c r="M98" s="14">
        <f t="shared" si="35"/>
        <v>21</v>
      </c>
      <c r="N98" s="21">
        <v>100</v>
      </c>
      <c r="O98" s="53" t="s">
        <v>814</v>
      </c>
      <c r="P98" s="15">
        <v>5.9999999999999995E-4</v>
      </c>
      <c r="Q98" s="22">
        <f t="shared" ref="Q98" si="48">P98*N98</f>
        <v>0.06</v>
      </c>
      <c r="R98" s="21"/>
      <c r="S98" s="21"/>
    </row>
    <row r="99" spans="1:19" ht="60" x14ac:dyDescent="0.25">
      <c r="A99" s="1"/>
      <c r="B99" s="16"/>
      <c r="C99" s="23" t="s">
        <v>34</v>
      </c>
      <c r="D99" s="14" t="s">
        <v>874</v>
      </c>
      <c r="E99" s="14" t="s">
        <v>278</v>
      </c>
      <c r="F99" s="21" t="s">
        <v>384</v>
      </c>
      <c r="G99" s="14" t="s">
        <v>477</v>
      </c>
      <c r="H99" s="14" t="s">
        <v>530</v>
      </c>
      <c r="I99" s="14" t="s">
        <v>790</v>
      </c>
      <c r="J99" s="14" t="s">
        <v>675</v>
      </c>
      <c r="K99" s="48" t="s">
        <v>751</v>
      </c>
      <c r="L99" s="14">
        <v>28</v>
      </c>
      <c r="M99" s="14">
        <f t="shared" si="35"/>
        <v>84</v>
      </c>
      <c r="N99" s="14">
        <v>100</v>
      </c>
      <c r="O99" s="53" t="s">
        <v>814</v>
      </c>
      <c r="P99" s="15">
        <v>5.9999999999999995E-4</v>
      </c>
      <c r="Q99" s="15">
        <f>P99*N99</f>
        <v>0.06</v>
      </c>
      <c r="R99" s="14"/>
      <c r="S99" s="20"/>
    </row>
    <row r="100" spans="1:19" x14ac:dyDescent="0.25">
      <c r="A100" s="1"/>
      <c r="B100" s="17">
        <f t="shared" si="0"/>
        <v>93</v>
      </c>
      <c r="C100" s="78" t="s">
        <v>34</v>
      </c>
      <c r="D100" s="45" t="s">
        <v>128</v>
      </c>
      <c r="E100" s="45" t="s">
        <v>277</v>
      </c>
      <c r="F100" s="44" t="s">
        <v>384</v>
      </c>
      <c r="G100" s="45" t="s">
        <v>476</v>
      </c>
      <c r="H100" s="45" t="s">
        <v>530</v>
      </c>
      <c r="I100" s="79" t="s">
        <v>790</v>
      </c>
      <c r="J100" s="45" t="s">
        <v>674</v>
      </c>
      <c r="K100" s="49" t="s">
        <v>750</v>
      </c>
      <c r="L100" s="45">
        <v>2</v>
      </c>
      <c r="M100" s="45">
        <f t="shared" si="35"/>
        <v>6</v>
      </c>
      <c r="N100" s="45">
        <v>100</v>
      </c>
      <c r="O100" s="61" t="s">
        <v>814</v>
      </c>
      <c r="P100" s="15" t="s">
        <v>790</v>
      </c>
      <c r="Q100" s="54" t="s">
        <v>790</v>
      </c>
      <c r="R100" s="45" t="s">
        <v>790</v>
      </c>
      <c r="S100" s="62" t="s">
        <v>846</v>
      </c>
    </row>
    <row r="101" spans="1:19" x14ac:dyDescent="0.25">
      <c r="A101" s="1"/>
      <c r="B101" s="16">
        <f>ROW(B101) - ROW($B$7)</f>
        <v>94</v>
      </c>
      <c r="C101" s="78" t="s">
        <v>34</v>
      </c>
      <c r="D101" s="44" t="s">
        <v>875</v>
      </c>
      <c r="E101" s="49" t="s">
        <v>279</v>
      </c>
      <c r="F101" s="44" t="s">
        <v>385</v>
      </c>
      <c r="G101" s="49" t="s">
        <v>478</v>
      </c>
      <c r="H101" s="44" t="s">
        <v>530</v>
      </c>
      <c r="I101" s="79" t="s">
        <v>790</v>
      </c>
      <c r="J101" s="80" t="s">
        <v>790</v>
      </c>
      <c r="K101" s="49" t="s">
        <v>750</v>
      </c>
      <c r="L101" s="44">
        <v>1</v>
      </c>
      <c r="M101" s="45">
        <f t="shared" si="35"/>
        <v>3</v>
      </c>
      <c r="N101" s="45">
        <v>100</v>
      </c>
      <c r="O101" s="61" t="s">
        <v>814</v>
      </c>
      <c r="P101" s="15" t="s">
        <v>790</v>
      </c>
      <c r="Q101" s="22" t="s">
        <v>790</v>
      </c>
      <c r="R101" s="21" t="s">
        <v>790</v>
      </c>
      <c r="S101" s="62" t="s">
        <v>846</v>
      </c>
    </row>
    <row r="102" spans="1:19" x14ac:dyDescent="0.25">
      <c r="A102" s="1"/>
      <c r="B102" s="17">
        <f t="shared" si="0"/>
        <v>95</v>
      </c>
      <c r="C102" s="24" t="s">
        <v>34</v>
      </c>
      <c r="D102" s="21" t="s">
        <v>129</v>
      </c>
      <c r="E102" s="21" t="s">
        <v>279</v>
      </c>
      <c r="F102" s="14" t="s">
        <v>385</v>
      </c>
      <c r="G102" s="21" t="s">
        <v>478</v>
      </c>
      <c r="H102" s="21" t="s">
        <v>530</v>
      </c>
      <c r="I102" s="21" t="s">
        <v>790</v>
      </c>
      <c r="J102" s="21" t="s">
        <v>676</v>
      </c>
      <c r="K102" s="43" t="s">
        <v>752</v>
      </c>
      <c r="L102" s="21">
        <v>1</v>
      </c>
      <c r="M102" s="14">
        <f t="shared" si="35"/>
        <v>3</v>
      </c>
      <c r="N102" s="21">
        <v>5</v>
      </c>
      <c r="O102" s="53" t="s">
        <v>814</v>
      </c>
      <c r="P102" s="15">
        <v>0.13500000000000001</v>
      </c>
      <c r="Q102" s="22">
        <f t="shared" ref="Q102" si="49">P102*N102</f>
        <v>0.67500000000000004</v>
      </c>
      <c r="R102" s="21"/>
      <c r="S102" s="21"/>
    </row>
    <row r="103" spans="1:19" ht="60" x14ac:dyDescent="0.25">
      <c r="A103" s="1"/>
      <c r="B103" s="16">
        <f>ROW(B103) - ROW($B$7)</f>
        <v>96</v>
      </c>
      <c r="C103" s="23"/>
      <c r="D103" s="14" t="s">
        <v>130</v>
      </c>
      <c r="E103" s="14" t="s">
        <v>280</v>
      </c>
      <c r="F103" s="21" t="s">
        <v>384</v>
      </c>
      <c r="G103" s="14" t="s">
        <v>479</v>
      </c>
      <c r="H103" s="14" t="s">
        <v>530</v>
      </c>
      <c r="I103" s="21" t="s">
        <v>790</v>
      </c>
      <c r="J103" s="14" t="s">
        <v>677</v>
      </c>
      <c r="K103" s="48" t="s">
        <v>753</v>
      </c>
      <c r="L103" s="14">
        <v>27</v>
      </c>
      <c r="M103" s="14">
        <f t="shared" si="35"/>
        <v>81</v>
      </c>
      <c r="N103" s="14">
        <v>100</v>
      </c>
      <c r="O103" s="53" t="s">
        <v>814</v>
      </c>
      <c r="P103" s="15">
        <v>5.9999999999999995E-4</v>
      </c>
      <c r="Q103" s="15">
        <f>P103*N103</f>
        <v>0.06</v>
      </c>
      <c r="R103" s="14"/>
      <c r="S103" s="20"/>
    </row>
    <row r="104" spans="1:19" x14ac:dyDescent="0.25">
      <c r="A104" s="1"/>
      <c r="B104" s="17">
        <f t="shared" si="0"/>
        <v>97</v>
      </c>
      <c r="C104" s="24" t="s">
        <v>35</v>
      </c>
      <c r="D104" s="21" t="s">
        <v>131</v>
      </c>
      <c r="E104" s="21" t="s">
        <v>281</v>
      </c>
      <c r="F104" s="14" t="s">
        <v>812</v>
      </c>
      <c r="G104" s="21" t="s">
        <v>386</v>
      </c>
      <c r="H104" s="21" t="s">
        <v>530</v>
      </c>
      <c r="I104" s="21" t="s">
        <v>790</v>
      </c>
      <c r="J104" s="21" t="s">
        <v>678</v>
      </c>
      <c r="K104" s="43" t="s">
        <v>745</v>
      </c>
      <c r="L104" s="21">
        <v>4</v>
      </c>
      <c r="M104" s="14">
        <f t="shared" si="35"/>
        <v>12</v>
      </c>
      <c r="N104" s="21">
        <v>50</v>
      </c>
      <c r="O104" s="53" t="s">
        <v>814</v>
      </c>
      <c r="P104" s="15">
        <v>8.3999999999999995E-3</v>
      </c>
      <c r="Q104" s="22">
        <f t="shared" ref="Q104" si="50">P104*N104</f>
        <v>0.42</v>
      </c>
      <c r="R104" s="21"/>
      <c r="S104" s="21"/>
    </row>
    <row r="105" spans="1:19" x14ac:dyDescent="0.25">
      <c r="A105" s="1"/>
      <c r="B105" s="16">
        <f>ROW(B105) - ROW($B$7)</f>
        <v>98</v>
      </c>
      <c r="C105" s="23" t="s">
        <v>34</v>
      </c>
      <c r="D105" s="14" t="s">
        <v>132</v>
      </c>
      <c r="E105" s="14" t="s">
        <v>282</v>
      </c>
      <c r="F105" s="21" t="s">
        <v>384</v>
      </c>
      <c r="G105" s="14" t="s">
        <v>480</v>
      </c>
      <c r="H105" s="14" t="s">
        <v>530</v>
      </c>
      <c r="I105" s="21" t="s">
        <v>790</v>
      </c>
      <c r="J105" s="14" t="s">
        <v>679</v>
      </c>
      <c r="K105" s="48" t="s">
        <v>754</v>
      </c>
      <c r="L105" s="14">
        <v>4</v>
      </c>
      <c r="M105" s="14">
        <f t="shared" si="35"/>
        <v>12</v>
      </c>
      <c r="N105" s="14">
        <v>100</v>
      </c>
      <c r="O105" s="53" t="s">
        <v>814</v>
      </c>
      <c r="P105" s="15">
        <v>5.9999999999999995E-4</v>
      </c>
      <c r="Q105" s="15">
        <f>P105*N105</f>
        <v>0.06</v>
      </c>
      <c r="R105" s="14"/>
      <c r="S105" s="20"/>
    </row>
    <row r="106" spans="1:19" x14ac:dyDescent="0.25">
      <c r="A106" s="1"/>
      <c r="B106" s="17">
        <f t="shared" si="0"/>
        <v>99</v>
      </c>
      <c r="C106" s="24" t="s">
        <v>34</v>
      </c>
      <c r="D106" s="21" t="s">
        <v>133</v>
      </c>
      <c r="E106" s="21" t="s">
        <v>283</v>
      </c>
      <c r="F106" s="14" t="s">
        <v>384</v>
      </c>
      <c r="G106" s="21" t="s">
        <v>481</v>
      </c>
      <c r="H106" s="21" t="s">
        <v>530</v>
      </c>
      <c r="I106" s="21" t="s">
        <v>790</v>
      </c>
      <c r="J106" s="21" t="s">
        <v>680</v>
      </c>
      <c r="K106" s="43" t="s">
        <v>755</v>
      </c>
      <c r="L106" s="21">
        <v>4</v>
      </c>
      <c r="M106" s="14">
        <f t="shared" si="35"/>
        <v>12</v>
      </c>
      <c r="N106" s="21">
        <v>50</v>
      </c>
      <c r="O106" s="53" t="s">
        <v>814</v>
      </c>
      <c r="P106" s="15">
        <v>9.7999999999999997E-3</v>
      </c>
      <c r="Q106" s="22">
        <f t="shared" ref="Q106" si="51">P106*N106</f>
        <v>0.49</v>
      </c>
      <c r="R106" s="21"/>
      <c r="S106" s="21"/>
    </row>
    <row r="107" spans="1:19" x14ac:dyDescent="0.25">
      <c r="A107" s="1"/>
      <c r="B107" s="16">
        <f>ROW(B107) - ROW($B$7)</f>
        <v>100</v>
      </c>
      <c r="C107" s="23" t="s">
        <v>34</v>
      </c>
      <c r="D107" s="14" t="s">
        <v>134</v>
      </c>
      <c r="E107" s="14" t="s">
        <v>284</v>
      </c>
      <c r="F107" s="21" t="s">
        <v>385</v>
      </c>
      <c r="G107" s="14" t="s">
        <v>482</v>
      </c>
      <c r="H107" s="14" t="s">
        <v>530</v>
      </c>
      <c r="I107" s="21" t="s">
        <v>790</v>
      </c>
      <c r="J107" s="14" t="s">
        <v>681</v>
      </c>
      <c r="K107" s="48" t="s">
        <v>756</v>
      </c>
      <c r="L107" s="14">
        <v>1</v>
      </c>
      <c r="M107" s="14">
        <f t="shared" si="35"/>
        <v>3</v>
      </c>
      <c r="N107" s="14">
        <v>100</v>
      </c>
      <c r="O107" s="53" t="s">
        <v>814</v>
      </c>
      <c r="P107" s="15">
        <v>1.1999999999999999E-3</v>
      </c>
      <c r="Q107" s="15">
        <f>P107*N107</f>
        <v>0.12</v>
      </c>
      <c r="R107" s="14"/>
      <c r="S107" s="20"/>
    </row>
    <row r="108" spans="1:19" x14ac:dyDescent="0.25">
      <c r="A108" s="1"/>
      <c r="B108" s="17">
        <f t="shared" si="0"/>
        <v>101</v>
      </c>
      <c r="C108" s="24" t="s">
        <v>34</v>
      </c>
      <c r="D108" s="21" t="s">
        <v>135</v>
      </c>
      <c r="E108" s="21" t="s">
        <v>285</v>
      </c>
      <c r="F108" s="14" t="s">
        <v>384</v>
      </c>
      <c r="G108" s="21" t="s">
        <v>483</v>
      </c>
      <c r="H108" s="21" t="s">
        <v>530</v>
      </c>
      <c r="I108" s="21" t="s">
        <v>790</v>
      </c>
      <c r="J108" s="21" t="s">
        <v>682</v>
      </c>
      <c r="K108" s="43" t="s">
        <v>757</v>
      </c>
      <c r="L108" s="21">
        <v>5</v>
      </c>
      <c r="M108" s="14">
        <f t="shared" si="35"/>
        <v>15</v>
      </c>
      <c r="N108" s="21">
        <v>100</v>
      </c>
      <c r="O108" s="53" t="s">
        <v>814</v>
      </c>
      <c r="P108" s="15">
        <v>5.9999999999999995E-4</v>
      </c>
      <c r="Q108" s="22">
        <f t="shared" ref="Q108" si="52">P108*N108</f>
        <v>0.06</v>
      </c>
      <c r="R108" s="21"/>
      <c r="S108" s="21"/>
    </row>
    <row r="109" spans="1:19" x14ac:dyDescent="0.25">
      <c r="A109" s="1"/>
      <c r="B109" s="16">
        <f>ROW(B109) - ROW($B$7)</f>
        <v>102</v>
      </c>
      <c r="C109" s="23" t="s">
        <v>34</v>
      </c>
      <c r="D109" s="14" t="s">
        <v>136</v>
      </c>
      <c r="E109" s="14" t="s">
        <v>286</v>
      </c>
      <c r="F109" s="21" t="s">
        <v>385</v>
      </c>
      <c r="G109" s="45" t="s">
        <v>484</v>
      </c>
      <c r="H109" s="14" t="s">
        <v>530</v>
      </c>
      <c r="I109" s="14" t="s">
        <v>848</v>
      </c>
      <c r="J109" s="14" t="s">
        <v>847</v>
      </c>
      <c r="K109" s="48" t="s">
        <v>758</v>
      </c>
      <c r="L109" s="14">
        <v>1</v>
      </c>
      <c r="M109" s="14">
        <f t="shared" si="35"/>
        <v>3</v>
      </c>
      <c r="N109" s="14">
        <v>100</v>
      </c>
      <c r="O109" s="53" t="s">
        <v>814</v>
      </c>
      <c r="P109" s="15">
        <v>8.9999999999999998E-4</v>
      </c>
      <c r="Q109" s="15">
        <f>P109*N109</f>
        <v>0.09</v>
      </c>
      <c r="R109" s="14"/>
      <c r="S109" s="20"/>
    </row>
    <row r="110" spans="1:19" x14ac:dyDescent="0.25">
      <c r="A110" s="1"/>
      <c r="B110" s="17">
        <f t="shared" si="0"/>
        <v>103</v>
      </c>
      <c r="C110" s="24" t="s">
        <v>34</v>
      </c>
      <c r="D110" s="21" t="s">
        <v>137</v>
      </c>
      <c r="E110" s="21" t="s">
        <v>287</v>
      </c>
      <c r="F110" s="14" t="s">
        <v>385</v>
      </c>
      <c r="G110" s="21" t="s">
        <v>485</v>
      </c>
      <c r="H110" s="21" t="s">
        <v>530</v>
      </c>
      <c r="I110" s="21" t="s">
        <v>790</v>
      </c>
      <c r="J110" s="21" t="s">
        <v>683</v>
      </c>
      <c r="K110" s="43" t="s">
        <v>759</v>
      </c>
      <c r="L110" s="21">
        <v>1</v>
      </c>
      <c r="M110" s="14">
        <f t="shared" si="35"/>
        <v>3</v>
      </c>
      <c r="N110" s="21">
        <v>100</v>
      </c>
      <c r="O110" s="53" t="s">
        <v>814</v>
      </c>
      <c r="P110" s="15">
        <v>1.1999999999999999E-3</v>
      </c>
      <c r="Q110" s="22">
        <f t="shared" ref="Q110" si="53">P110*N110</f>
        <v>0.12</v>
      </c>
      <c r="R110" s="21"/>
      <c r="S110" s="21"/>
    </row>
    <row r="111" spans="1:19" x14ac:dyDescent="0.25">
      <c r="A111" s="1"/>
      <c r="B111" s="16">
        <f>ROW(B111) - ROW($B$7)</f>
        <v>104</v>
      </c>
      <c r="C111" s="23" t="s">
        <v>34</v>
      </c>
      <c r="D111" s="14" t="s">
        <v>138</v>
      </c>
      <c r="E111" s="14" t="s">
        <v>288</v>
      </c>
      <c r="F111" s="21" t="s">
        <v>385</v>
      </c>
      <c r="G111" s="14" t="s">
        <v>486</v>
      </c>
      <c r="H111" s="14" t="s">
        <v>530</v>
      </c>
      <c r="I111" s="21" t="s">
        <v>790</v>
      </c>
      <c r="J111" s="14" t="s">
        <v>684</v>
      </c>
      <c r="K111" s="48" t="s">
        <v>760</v>
      </c>
      <c r="L111" s="14">
        <v>1</v>
      </c>
      <c r="M111" s="14">
        <f t="shared" si="35"/>
        <v>3</v>
      </c>
      <c r="N111" s="14">
        <v>100</v>
      </c>
      <c r="O111" s="53" t="s">
        <v>814</v>
      </c>
      <c r="P111" s="15">
        <v>1E-3</v>
      </c>
      <c r="Q111" s="15">
        <f>P111*N111</f>
        <v>0.1</v>
      </c>
      <c r="R111" s="14"/>
      <c r="S111" s="20"/>
    </row>
    <row r="112" spans="1:19" x14ac:dyDescent="0.25">
      <c r="A112" s="1"/>
      <c r="B112" s="17">
        <f t="shared" si="0"/>
        <v>105</v>
      </c>
      <c r="C112" s="24" t="s">
        <v>34</v>
      </c>
      <c r="D112" s="45" t="s">
        <v>139</v>
      </c>
      <c r="E112" s="45" t="s">
        <v>273</v>
      </c>
      <c r="F112" s="44" t="s">
        <v>384</v>
      </c>
      <c r="G112" s="45" t="s">
        <v>472</v>
      </c>
      <c r="H112" s="45" t="s">
        <v>530</v>
      </c>
      <c r="I112" s="21" t="s">
        <v>790</v>
      </c>
      <c r="J112" s="45" t="s">
        <v>670</v>
      </c>
      <c r="K112" s="49" t="s">
        <v>750</v>
      </c>
      <c r="L112" s="45">
        <v>1</v>
      </c>
      <c r="M112" s="45">
        <f t="shared" si="35"/>
        <v>3</v>
      </c>
      <c r="N112" s="45">
        <v>100</v>
      </c>
      <c r="O112" s="61" t="s">
        <v>814</v>
      </c>
      <c r="P112" s="15" t="s">
        <v>790</v>
      </c>
      <c r="Q112" s="54" t="s">
        <v>790</v>
      </c>
      <c r="R112" s="45"/>
      <c r="S112" s="62" t="s">
        <v>846</v>
      </c>
    </row>
    <row r="113" spans="1:19" x14ac:dyDescent="0.25">
      <c r="A113" s="1"/>
      <c r="B113" s="16">
        <f>ROW(B113) - ROW($B$7)</f>
        <v>106</v>
      </c>
      <c r="C113" s="24" t="s">
        <v>34</v>
      </c>
      <c r="D113" s="14" t="s">
        <v>857</v>
      </c>
      <c r="E113" s="14" t="s">
        <v>289</v>
      </c>
      <c r="F113" s="21" t="s">
        <v>384</v>
      </c>
      <c r="G113" s="14" t="s">
        <v>487</v>
      </c>
      <c r="H113" s="14" t="s">
        <v>530</v>
      </c>
      <c r="I113" s="21" t="s">
        <v>790</v>
      </c>
      <c r="J113" s="14" t="s">
        <v>849</v>
      </c>
      <c r="K113" s="48" t="s">
        <v>761</v>
      </c>
      <c r="L113" s="14">
        <v>3</v>
      </c>
      <c r="M113" s="14">
        <f t="shared" si="35"/>
        <v>9</v>
      </c>
      <c r="N113" s="14">
        <v>100</v>
      </c>
      <c r="O113" s="53" t="s">
        <v>814</v>
      </c>
      <c r="P113" s="15">
        <v>5.9999999999999995E-4</v>
      </c>
      <c r="Q113" s="15">
        <f>P113*N113</f>
        <v>0.06</v>
      </c>
      <c r="R113" s="14"/>
      <c r="S113" s="20"/>
    </row>
    <row r="114" spans="1:19" x14ac:dyDescent="0.25">
      <c r="A114" s="1"/>
      <c r="B114" s="17">
        <f t="shared" si="0"/>
        <v>107</v>
      </c>
      <c r="C114" s="24" t="s">
        <v>34</v>
      </c>
      <c r="D114" s="21" t="s">
        <v>140</v>
      </c>
      <c r="E114" s="21" t="s">
        <v>290</v>
      </c>
      <c r="F114" s="14" t="s">
        <v>384</v>
      </c>
      <c r="G114" s="21" t="s">
        <v>488</v>
      </c>
      <c r="H114" s="21" t="s">
        <v>530</v>
      </c>
      <c r="I114" s="21" t="s">
        <v>790</v>
      </c>
      <c r="J114" s="21" t="s">
        <v>685</v>
      </c>
      <c r="K114" s="43" t="s">
        <v>762</v>
      </c>
      <c r="L114" s="21">
        <v>2</v>
      </c>
      <c r="M114" s="14">
        <f t="shared" si="35"/>
        <v>6</v>
      </c>
      <c r="N114" s="21">
        <v>100</v>
      </c>
      <c r="O114" s="53" t="s">
        <v>814</v>
      </c>
      <c r="P114" s="15">
        <v>5.9999999999999995E-4</v>
      </c>
      <c r="Q114" s="22">
        <f t="shared" ref="Q114" si="54">P114*N114</f>
        <v>0.06</v>
      </c>
      <c r="R114" s="21"/>
      <c r="S114" s="21"/>
    </row>
    <row r="115" spans="1:19" x14ac:dyDescent="0.25">
      <c r="A115" s="1"/>
      <c r="B115" s="16">
        <f>ROW(B115) - ROW($B$7)</f>
        <v>108</v>
      </c>
      <c r="C115" s="24" t="s">
        <v>34</v>
      </c>
      <c r="D115" s="45" t="s">
        <v>141</v>
      </c>
      <c r="E115" s="45" t="s">
        <v>280</v>
      </c>
      <c r="F115" s="44" t="s">
        <v>384</v>
      </c>
      <c r="G115" s="45" t="s">
        <v>479</v>
      </c>
      <c r="H115" s="45" t="s">
        <v>530</v>
      </c>
      <c r="I115" s="21" t="s">
        <v>790</v>
      </c>
      <c r="J115" s="45" t="s">
        <v>677</v>
      </c>
      <c r="K115" s="49" t="s">
        <v>750</v>
      </c>
      <c r="L115" s="45">
        <v>2</v>
      </c>
      <c r="M115" s="45">
        <f t="shared" si="35"/>
        <v>6</v>
      </c>
      <c r="N115" s="45">
        <v>100</v>
      </c>
      <c r="O115" s="61" t="s">
        <v>814</v>
      </c>
      <c r="P115" s="15" t="s">
        <v>790</v>
      </c>
      <c r="Q115" s="54" t="s">
        <v>790</v>
      </c>
      <c r="R115" s="45"/>
      <c r="S115" s="62" t="s">
        <v>846</v>
      </c>
    </row>
    <row r="116" spans="1:19" x14ac:dyDescent="0.25">
      <c r="A116" s="1"/>
      <c r="B116" s="17">
        <f t="shared" si="0"/>
        <v>109</v>
      </c>
      <c r="C116" s="24" t="s">
        <v>34</v>
      </c>
      <c r="D116" s="21" t="s">
        <v>142</v>
      </c>
      <c r="E116" s="21" t="s">
        <v>291</v>
      </c>
      <c r="F116" s="14" t="s">
        <v>385</v>
      </c>
      <c r="G116" s="21" t="s">
        <v>489</v>
      </c>
      <c r="H116" s="21" t="s">
        <v>568</v>
      </c>
      <c r="I116" s="21" t="s">
        <v>790</v>
      </c>
      <c r="J116" s="21" t="s">
        <v>686</v>
      </c>
      <c r="K116" s="43" t="s">
        <v>749</v>
      </c>
      <c r="L116" s="21">
        <v>2</v>
      </c>
      <c r="M116" s="14">
        <f t="shared" si="35"/>
        <v>6</v>
      </c>
      <c r="N116" s="21">
        <v>100</v>
      </c>
      <c r="O116" s="53" t="s">
        <v>814</v>
      </c>
      <c r="P116" s="15">
        <v>1.1999999999999999E-3</v>
      </c>
      <c r="Q116" s="22">
        <f t="shared" ref="Q116" si="55">P116*N116</f>
        <v>0.12</v>
      </c>
      <c r="R116" s="21"/>
      <c r="S116" s="21"/>
    </row>
    <row r="117" spans="1:19" x14ac:dyDescent="0.25">
      <c r="A117" s="1"/>
      <c r="B117" s="16">
        <f>ROW(B117) - ROW($B$7)</f>
        <v>110</v>
      </c>
      <c r="C117" s="23" t="s">
        <v>34</v>
      </c>
      <c r="D117" s="14" t="s">
        <v>143</v>
      </c>
      <c r="E117" s="14" t="s">
        <v>292</v>
      </c>
      <c r="F117" s="21" t="s">
        <v>385</v>
      </c>
      <c r="G117" s="14" t="s">
        <v>490</v>
      </c>
      <c r="H117" s="14" t="s">
        <v>530</v>
      </c>
      <c r="I117" s="21" t="s">
        <v>790</v>
      </c>
      <c r="J117" s="14" t="s">
        <v>687</v>
      </c>
      <c r="K117" s="48" t="s">
        <v>763</v>
      </c>
      <c r="L117" s="14">
        <v>2</v>
      </c>
      <c r="M117" s="14">
        <f t="shared" si="35"/>
        <v>6</v>
      </c>
      <c r="N117" s="14">
        <v>100</v>
      </c>
      <c r="O117" s="53" t="s">
        <v>814</v>
      </c>
      <c r="P117" s="15">
        <v>1E-3</v>
      </c>
      <c r="Q117" s="15">
        <f>P117*N117</f>
        <v>0.1</v>
      </c>
      <c r="R117" s="14"/>
      <c r="S117" s="20"/>
    </row>
    <row r="118" spans="1:19" x14ac:dyDescent="0.25">
      <c r="A118" s="1"/>
      <c r="B118" s="17">
        <f t="shared" si="0"/>
        <v>111</v>
      </c>
      <c r="C118" s="24" t="s">
        <v>34</v>
      </c>
      <c r="D118" s="21" t="s">
        <v>144</v>
      </c>
      <c r="E118" s="21" t="s">
        <v>293</v>
      </c>
      <c r="F118" s="14" t="s">
        <v>385</v>
      </c>
      <c r="G118" s="21" t="s">
        <v>491</v>
      </c>
      <c r="H118" s="21" t="s">
        <v>530</v>
      </c>
      <c r="I118" s="21" t="s">
        <v>790</v>
      </c>
      <c r="J118" s="21" t="s">
        <v>688</v>
      </c>
      <c r="K118" s="43" t="s">
        <v>753</v>
      </c>
      <c r="L118" s="21">
        <v>4</v>
      </c>
      <c r="M118" s="14">
        <f t="shared" si="35"/>
        <v>12</v>
      </c>
      <c r="N118" s="21">
        <v>100</v>
      </c>
      <c r="O118" s="53" t="s">
        <v>814</v>
      </c>
      <c r="P118" s="15">
        <v>1.0200000000000001E-2</v>
      </c>
      <c r="Q118" s="22">
        <f t="shared" ref="Q118" si="56">P118*N118</f>
        <v>1.02</v>
      </c>
      <c r="R118" s="21"/>
      <c r="S118" s="21"/>
    </row>
    <row r="119" spans="1:19" x14ac:dyDescent="0.25">
      <c r="A119" s="1"/>
      <c r="B119" s="16">
        <f>ROW(B119) - ROW($B$7)</f>
        <v>112</v>
      </c>
      <c r="C119" s="24" t="s">
        <v>34</v>
      </c>
      <c r="D119" s="14" t="s">
        <v>145</v>
      </c>
      <c r="E119" s="14" t="s">
        <v>294</v>
      </c>
      <c r="F119" s="21" t="s">
        <v>384</v>
      </c>
      <c r="G119" s="45" t="s">
        <v>492</v>
      </c>
      <c r="H119" s="14" t="s">
        <v>568</v>
      </c>
      <c r="I119" s="21" t="s">
        <v>855</v>
      </c>
      <c r="J119" s="14" t="s">
        <v>856</v>
      </c>
      <c r="K119" s="48" t="s">
        <v>764</v>
      </c>
      <c r="L119" s="14">
        <v>2</v>
      </c>
      <c r="M119" s="14">
        <f t="shared" si="35"/>
        <v>6</v>
      </c>
      <c r="N119" s="14">
        <v>100</v>
      </c>
      <c r="O119" s="53" t="s">
        <v>814</v>
      </c>
      <c r="P119" s="15">
        <v>1.1999999999999999E-3</v>
      </c>
      <c r="Q119" s="15">
        <f>P119*N119</f>
        <v>0.12</v>
      </c>
      <c r="R119" s="14"/>
      <c r="S119" s="20"/>
    </row>
    <row r="120" spans="1:19" ht="24" x14ac:dyDescent="0.25">
      <c r="A120" s="1"/>
      <c r="B120" s="17">
        <f t="shared" si="0"/>
        <v>113</v>
      </c>
      <c r="C120" s="24" t="s">
        <v>34</v>
      </c>
      <c r="D120" s="21" t="s">
        <v>146</v>
      </c>
      <c r="E120" s="21" t="s">
        <v>295</v>
      </c>
      <c r="F120" s="46" t="s">
        <v>384</v>
      </c>
      <c r="G120" s="21" t="s">
        <v>493</v>
      </c>
      <c r="H120" s="21" t="s">
        <v>530</v>
      </c>
      <c r="I120" s="21" t="s">
        <v>790</v>
      </c>
      <c r="J120" s="21" t="s">
        <v>689</v>
      </c>
      <c r="K120" s="50" t="s">
        <v>765</v>
      </c>
      <c r="L120" s="21">
        <v>8</v>
      </c>
      <c r="M120" s="14">
        <f t="shared" si="35"/>
        <v>24</v>
      </c>
      <c r="N120" s="21">
        <v>100</v>
      </c>
      <c r="O120" s="53" t="s">
        <v>814</v>
      </c>
      <c r="P120" s="15">
        <v>5.9999999999999995E-4</v>
      </c>
      <c r="Q120" s="22">
        <f t="shared" ref="Q120" si="57">P120*N120</f>
        <v>0.06</v>
      </c>
      <c r="R120" s="21"/>
      <c r="S120" s="21"/>
    </row>
    <row r="121" spans="1:19" ht="24" x14ac:dyDescent="0.25">
      <c r="A121" s="1"/>
      <c r="B121" s="16">
        <f>ROW(B121) - ROW($B$7)</f>
        <v>114</v>
      </c>
      <c r="C121" s="24" t="s">
        <v>34</v>
      </c>
      <c r="D121" s="14" t="s">
        <v>147</v>
      </c>
      <c r="E121" s="14" t="s">
        <v>277</v>
      </c>
      <c r="F121" s="47" t="s">
        <v>384</v>
      </c>
      <c r="G121" s="14" t="s">
        <v>476</v>
      </c>
      <c r="H121" s="14" t="s">
        <v>530</v>
      </c>
      <c r="I121" s="21" t="s">
        <v>790</v>
      </c>
      <c r="J121" s="14" t="s">
        <v>674</v>
      </c>
      <c r="K121" s="51" t="s">
        <v>766</v>
      </c>
      <c r="L121" s="14">
        <v>8</v>
      </c>
      <c r="M121" s="14">
        <f t="shared" si="35"/>
        <v>24</v>
      </c>
      <c r="N121" s="14">
        <v>100</v>
      </c>
      <c r="O121" s="53" t="s">
        <v>814</v>
      </c>
      <c r="P121" s="15">
        <v>5.9999999999999995E-4</v>
      </c>
      <c r="Q121" s="15">
        <f>P121*N121</f>
        <v>0.06</v>
      </c>
      <c r="R121" s="14"/>
      <c r="S121" s="20"/>
    </row>
    <row r="122" spans="1:19" x14ac:dyDescent="0.25">
      <c r="A122" s="1"/>
      <c r="B122" s="17">
        <f t="shared" si="0"/>
        <v>115</v>
      </c>
      <c r="C122" s="24" t="s">
        <v>34</v>
      </c>
      <c r="D122" s="21" t="s">
        <v>148</v>
      </c>
      <c r="E122" s="21" t="s">
        <v>296</v>
      </c>
      <c r="F122" s="14" t="s">
        <v>384</v>
      </c>
      <c r="G122" s="21" t="s">
        <v>494</v>
      </c>
      <c r="H122" s="21" t="s">
        <v>530</v>
      </c>
      <c r="I122" s="21" t="s">
        <v>790</v>
      </c>
      <c r="J122" s="21" t="s">
        <v>690</v>
      </c>
      <c r="K122" s="43" t="s">
        <v>767</v>
      </c>
      <c r="L122" s="21">
        <v>2</v>
      </c>
      <c r="M122" s="14">
        <f t="shared" si="35"/>
        <v>6</v>
      </c>
      <c r="N122" s="21">
        <v>100</v>
      </c>
      <c r="O122" s="53" t="s">
        <v>814</v>
      </c>
      <c r="P122" s="15">
        <v>5.9999999999999995E-4</v>
      </c>
      <c r="Q122" s="22">
        <f t="shared" ref="Q122" si="58">P122*N122</f>
        <v>0.06</v>
      </c>
      <c r="R122" s="21"/>
      <c r="S122" s="21"/>
    </row>
    <row r="123" spans="1:19" x14ac:dyDescent="0.25">
      <c r="A123" s="1"/>
      <c r="B123" s="16">
        <f>ROW(B123) - ROW($B$7)</f>
        <v>116</v>
      </c>
      <c r="C123" s="24" t="s">
        <v>34</v>
      </c>
      <c r="D123" s="14" t="s">
        <v>149</v>
      </c>
      <c r="E123" s="14" t="s">
        <v>297</v>
      </c>
      <c r="F123" s="21" t="s">
        <v>384</v>
      </c>
      <c r="G123" s="14" t="s">
        <v>495</v>
      </c>
      <c r="H123" s="14" t="s">
        <v>530</v>
      </c>
      <c r="I123" s="21" t="s">
        <v>790</v>
      </c>
      <c r="J123" s="14" t="s">
        <v>691</v>
      </c>
      <c r="K123" s="48" t="s">
        <v>768</v>
      </c>
      <c r="L123" s="14">
        <v>2</v>
      </c>
      <c r="M123" s="14">
        <f t="shared" si="35"/>
        <v>6</v>
      </c>
      <c r="N123" s="14">
        <v>100</v>
      </c>
      <c r="O123" s="53" t="s">
        <v>814</v>
      </c>
      <c r="P123" s="15">
        <v>6.9999999999999999E-4</v>
      </c>
      <c r="Q123" s="15">
        <f>P123*N123</f>
        <v>6.9999999999999993E-2</v>
      </c>
      <c r="R123" s="14"/>
      <c r="S123" s="20"/>
    </row>
    <row r="124" spans="1:19" x14ac:dyDescent="0.25">
      <c r="A124" s="1"/>
      <c r="B124" s="17">
        <f t="shared" si="0"/>
        <v>117</v>
      </c>
      <c r="C124" s="24" t="s">
        <v>34</v>
      </c>
      <c r="D124" s="21" t="s">
        <v>150</v>
      </c>
      <c r="E124" s="21" t="s">
        <v>298</v>
      </c>
      <c r="F124" s="14" t="s">
        <v>384</v>
      </c>
      <c r="G124" s="21" t="s">
        <v>496</v>
      </c>
      <c r="H124" s="21" t="s">
        <v>530</v>
      </c>
      <c r="I124" s="21" t="s">
        <v>790</v>
      </c>
      <c r="J124" s="21" t="s">
        <v>692</v>
      </c>
      <c r="K124" s="43" t="s">
        <v>752</v>
      </c>
      <c r="L124" s="21">
        <v>2</v>
      </c>
      <c r="M124" s="14">
        <f t="shared" si="35"/>
        <v>6</v>
      </c>
      <c r="N124" s="21">
        <v>100</v>
      </c>
      <c r="O124" s="53" t="s">
        <v>814</v>
      </c>
      <c r="P124" s="15">
        <v>5.9999999999999995E-4</v>
      </c>
      <c r="Q124" s="22">
        <f t="shared" ref="Q124" si="59">P124*N124</f>
        <v>0.06</v>
      </c>
      <c r="R124" s="21"/>
      <c r="S124" s="21"/>
    </row>
    <row r="125" spans="1:19" x14ac:dyDescent="0.25">
      <c r="A125" s="1"/>
      <c r="B125" s="16">
        <f>ROW(B125) - ROW($B$7)</f>
        <v>118</v>
      </c>
      <c r="C125" s="24" t="s">
        <v>34</v>
      </c>
      <c r="D125" s="14" t="s">
        <v>151</v>
      </c>
      <c r="E125" s="14" t="s">
        <v>299</v>
      </c>
      <c r="F125" s="21" t="s">
        <v>384</v>
      </c>
      <c r="G125" s="14" t="s">
        <v>497</v>
      </c>
      <c r="H125" s="14" t="s">
        <v>530</v>
      </c>
      <c r="I125" s="21" t="s">
        <v>790</v>
      </c>
      <c r="J125" s="14" t="s">
        <v>693</v>
      </c>
      <c r="K125" s="48" t="s">
        <v>769</v>
      </c>
      <c r="L125" s="14">
        <v>2</v>
      </c>
      <c r="M125" s="14">
        <f t="shared" si="35"/>
        <v>6</v>
      </c>
      <c r="N125" s="14">
        <v>100</v>
      </c>
      <c r="O125" s="53" t="s">
        <v>814</v>
      </c>
      <c r="P125" s="15">
        <v>5.0000000000000001E-4</v>
      </c>
      <c r="Q125" s="15">
        <f>P125*N125</f>
        <v>0.05</v>
      </c>
      <c r="R125" s="14"/>
      <c r="S125" s="20"/>
    </row>
    <row r="126" spans="1:19" x14ac:dyDescent="0.25">
      <c r="A126" s="1"/>
      <c r="B126" s="17">
        <f t="shared" si="0"/>
        <v>119</v>
      </c>
      <c r="C126" s="24" t="s">
        <v>34</v>
      </c>
      <c r="D126" s="45" t="s">
        <v>152</v>
      </c>
      <c r="E126" s="45" t="s">
        <v>272</v>
      </c>
      <c r="F126" s="44" t="s">
        <v>384</v>
      </c>
      <c r="G126" s="45" t="s">
        <v>471</v>
      </c>
      <c r="H126" s="45" t="s">
        <v>530</v>
      </c>
      <c r="I126" s="21" t="s">
        <v>790</v>
      </c>
      <c r="J126" s="45" t="s">
        <v>669</v>
      </c>
      <c r="K126" s="49" t="s">
        <v>750</v>
      </c>
      <c r="L126" s="45">
        <v>2</v>
      </c>
      <c r="M126" s="45">
        <f t="shared" si="35"/>
        <v>6</v>
      </c>
      <c r="N126" s="45">
        <v>100</v>
      </c>
      <c r="O126" s="61" t="s">
        <v>814</v>
      </c>
      <c r="P126" s="15" t="s">
        <v>790</v>
      </c>
      <c r="Q126" s="54" t="s">
        <v>790</v>
      </c>
      <c r="R126" s="45"/>
      <c r="S126" s="62" t="s">
        <v>846</v>
      </c>
    </row>
    <row r="127" spans="1:19" x14ac:dyDescent="0.25">
      <c r="A127" s="1"/>
      <c r="B127" s="16">
        <f>ROW(B127) - ROW($B$7)</f>
        <v>120</v>
      </c>
      <c r="C127" s="24" t="s">
        <v>34</v>
      </c>
      <c r="D127" s="14" t="s">
        <v>153</v>
      </c>
      <c r="E127" s="14" t="s">
        <v>300</v>
      </c>
      <c r="F127" s="21" t="s">
        <v>384</v>
      </c>
      <c r="G127" s="14" t="s">
        <v>498</v>
      </c>
      <c r="H127" s="14" t="s">
        <v>530</v>
      </c>
      <c r="I127" s="21" t="s">
        <v>790</v>
      </c>
      <c r="J127" s="14" t="s">
        <v>694</v>
      </c>
      <c r="K127" s="48" t="s">
        <v>770</v>
      </c>
      <c r="L127" s="14">
        <v>1</v>
      </c>
      <c r="M127" s="14">
        <f t="shared" si="35"/>
        <v>3</v>
      </c>
      <c r="N127" s="14">
        <v>100</v>
      </c>
      <c r="O127" s="53" t="s">
        <v>814</v>
      </c>
      <c r="P127" s="15">
        <v>1.03E-2</v>
      </c>
      <c r="Q127" s="15">
        <f>P127*N127</f>
        <v>1.03</v>
      </c>
      <c r="R127" s="14"/>
      <c r="S127" s="20"/>
    </row>
    <row r="128" spans="1:19" x14ac:dyDescent="0.25">
      <c r="A128" s="1"/>
      <c r="B128" s="17">
        <f t="shared" si="0"/>
        <v>121</v>
      </c>
      <c r="C128" s="24" t="s">
        <v>34</v>
      </c>
      <c r="D128" s="14" t="s">
        <v>154</v>
      </c>
      <c r="E128" s="14" t="s">
        <v>301</v>
      </c>
      <c r="F128" s="21" t="s">
        <v>385</v>
      </c>
      <c r="G128" s="14" t="s">
        <v>499</v>
      </c>
      <c r="H128" s="14" t="s">
        <v>530</v>
      </c>
      <c r="I128" s="21" t="s">
        <v>790</v>
      </c>
      <c r="J128" s="14" t="s">
        <v>695</v>
      </c>
      <c r="K128" s="48" t="s">
        <v>771</v>
      </c>
      <c r="L128" s="14">
        <v>2</v>
      </c>
      <c r="M128" s="14">
        <f t="shared" si="35"/>
        <v>6</v>
      </c>
      <c r="N128" s="14">
        <v>100</v>
      </c>
      <c r="O128" s="53" t="s">
        <v>814</v>
      </c>
      <c r="P128" s="15">
        <v>5.9999999999999995E-4</v>
      </c>
      <c r="Q128" s="15">
        <f>P128*N128</f>
        <v>0.06</v>
      </c>
      <c r="R128" s="14"/>
      <c r="S128" s="20"/>
    </row>
    <row r="129" spans="1:19" x14ac:dyDescent="0.25">
      <c r="A129" s="1"/>
      <c r="B129" s="16">
        <f>ROW(B129) - ROW($B$7)</f>
        <v>122</v>
      </c>
      <c r="C129" s="24" t="s">
        <v>34</v>
      </c>
      <c r="D129" s="21" t="s">
        <v>155</v>
      </c>
      <c r="E129" s="21" t="s">
        <v>302</v>
      </c>
      <c r="F129" s="14" t="s">
        <v>384</v>
      </c>
      <c r="G129" s="21" t="s">
        <v>500</v>
      </c>
      <c r="H129" s="21" t="s">
        <v>530</v>
      </c>
      <c r="I129" s="21" t="s">
        <v>790</v>
      </c>
      <c r="J129" s="21" t="s">
        <v>696</v>
      </c>
      <c r="K129" s="43" t="s">
        <v>772</v>
      </c>
      <c r="L129" s="21">
        <v>1</v>
      </c>
      <c r="M129" s="14">
        <f t="shared" si="35"/>
        <v>3</v>
      </c>
      <c r="N129" s="21">
        <v>100</v>
      </c>
      <c r="O129" s="53" t="s">
        <v>814</v>
      </c>
      <c r="P129" s="15">
        <v>5.9999999999999995E-4</v>
      </c>
      <c r="Q129" s="22">
        <f t="shared" ref="Q129" si="60">P129*N129</f>
        <v>0.06</v>
      </c>
      <c r="R129" s="21"/>
      <c r="S129" s="21"/>
    </row>
    <row r="130" spans="1:19" x14ac:dyDescent="0.25">
      <c r="A130" s="1"/>
      <c r="B130" s="16">
        <f>ROW(B130) - ROW($B$7)</f>
        <v>123</v>
      </c>
      <c r="C130" s="24" t="s">
        <v>34</v>
      </c>
      <c r="D130" s="14" t="s">
        <v>156</v>
      </c>
      <c r="E130" s="14" t="s">
        <v>303</v>
      </c>
      <c r="F130" s="21" t="s">
        <v>384</v>
      </c>
      <c r="G130" s="14" t="s">
        <v>501</v>
      </c>
      <c r="H130" s="14" t="s">
        <v>530</v>
      </c>
      <c r="I130" s="21" t="s">
        <v>790</v>
      </c>
      <c r="J130" s="14" t="s">
        <v>697</v>
      </c>
      <c r="K130" s="48" t="s">
        <v>773</v>
      </c>
      <c r="L130" s="14">
        <v>1</v>
      </c>
      <c r="M130" s="14">
        <f t="shared" si="35"/>
        <v>3</v>
      </c>
      <c r="N130" s="14">
        <v>100</v>
      </c>
      <c r="O130" s="53" t="s">
        <v>814</v>
      </c>
      <c r="P130" s="15">
        <v>5.9999999999999995E-4</v>
      </c>
      <c r="Q130" s="15">
        <f>P130*N130</f>
        <v>0.06</v>
      </c>
      <c r="R130" s="14"/>
      <c r="S130" s="20"/>
    </row>
    <row r="131" spans="1:19" x14ac:dyDescent="0.25">
      <c r="A131" s="1"/>
      <c r="B131" s="17">
        <f t="shared" si="0"/>
        <v>124</v>
      </c>
      <c r="C131" s="24" t="s">
        <v>34</v>
      </c>
      <c r="D131" s="21" t="s">
        <v>157</v>
      </c>
      <c r="E131" s="21" t="s">
        <v>304</v>
      </c>
      <c r="F131" s="14" t="s">
        <v>384</v>
      </c>
      <c r="G131" s="21" t="s">
        <v>502</v>
      </c>
      <c r="H131" s="21" t="s">
        <v>530</v>
      </c>
      <c r="I131" s="21" t="s">
        <v>790</v>
      </c>
      <c r="J131" s="21" t="s">
        <v>698</v>
      </c>
      <c r="K131" s="43" t="s">
        <v>774</v>
      </c>
      <c r="L131" s="21">
        <v>1</v>
      </c>
      <c r="M131" s="14">
        <f t="shared" si="35"/>
        <v>3</v>
      </c>
      <c r="N131" s="21">
        <v>100</v>
      </c>
      <c r="O131" s="53" t="s">
        <v>814</v>
      </c>
      <c r="P131" s="15">
        <v>5.9999999999999995E-4</v>
      </c>
      <c r="Q131" s="22">
        <f t="shared" ref="Q131" si="61">P131*N131</f>
        <v>0.06</v>
      </c>
      <c r="R131" s="21"/>
      <c r="S131" s="21"/>
    </row>
    <row r="132" spans="1:19" x14ac:dyDescent="0.25">
      <c r="A132" s="1"/>
      <c r="B132" s="16">
        <f>ROW(B132) - ROW($B$7)</f>
        <v>125</v>
      </c>
      <c r="C132" s="24" t="s">
        <v>34</v>
      </c>
      <c r="D132" s="14" t="s">
        <v>158</v>
      </c>
      <c r="E132" s="14" t="s">
        <v>305</v>
      </c>
      <c r="F132" s="21" t="s">
        <v>384</v>
      </c>
      <c r="G132" s="14" t="s">
        <v>503</v>
      </c>
      <c r="H132" s="14" t="s">
        <v>530</v>
      </c>
      <c r="I132" s="21" t="s">
        <v>790</v>
      </c>
      <c r="J132" s="14" t="s">
        <v>699</v>
      </c>
      <c r="K132" s="48" t="s">
        <v>775</v>
      </c>
      <c r="L132" s="14">
        <v>1</v>
      </c>
      <c r="M132" s="14">
        <f t="shared" si="35"/>
        <v>3</v>
      </c>
      <c r="N132" s="14">
        <v>100</v>
      </c>
      <c r="O132" s="53" t="s">
        <v>814</v>
      </c>
      <c r="P132" s="15">
        <v>2.01E-2</v>
      </c>
      <c r="Q132" s="15">
        <f>P132*N132</f>
        <v>2.0099999999999998</v>
      </c>
      <c r="R132" s="14"/>
      <c r="S132" s="20"/>
    </row>
    <row r="133" spans="1:19" x14ac:dyDescent="0.25">
      <c r="A133" s="1"/>
      <c r="B133" s="17">
        <f t="shared" si="0"/>
        <v>126</v>
      </c>
      <c r="C133" s="24" t="s">
        <v>34</v>
      </c>
      <c r="D133" s="21" t="s">
        <v>159</v>
      </c>
      <c r="E133" s="21" t="s">
        <v>306</v>
      </c>
      <c r="F133" s="14" t="s">
        <v>384</v>
      </c>
      <c r="G133" s="21" t="s">
        <v>504</v>
      </c>
      <c r="H133" s="21" t="s">
        <v>530</v>
      </c>
      <c r="I133" s="21" t="s">
        <v>790</v>
      </c>
      <c r="J133" s="21" t="s">
        <v>700</v>
      </c>
      <c r="K133" s="43" t="s">
        <v>756</v>
      </c>
      <c r="L133" s="21">
        <v>2</v>
      </c>
      <c r="M133" s="14">
        <f t="shared" si="35"/>
        <v>6</v>
      </c>
      <c r="N133" s="21">
        <v>20</v>
      </c>
      <c r="O133" s="53" t="s">
        <v>814</v>
      </c>
      <c r="P133" s="15">
        <v>1.78E-2</v>
      </c>
      <c r="Q133" s="22">
        <f t="shared" ref="Q133" si="62">P133*N133</f>
        <v>0.35599999999999998</v>
      </c>
      <c r="R133" s="21"/>
      <c r="S133" s="21"/>
    </row>
    <row r="134" spans="1:19" x14ac:dyDescent="0.25">
      <c r="A134" s="1"/>
      <c r="B134" s="16">
        <f>ROW(B134) - ROW($B$7)</f>
        <v>127</v>
      </c>
      <c r="C134" s="23" t="s">
        <v>34</v>
      </c>
      <c r="D134" s="14" t="s">
        <v>160</v>
      </c>
      <c r="E134" s="14" t="s">
        <v>307</v>
      </c>
      <c r="F134" s="21" t="s">
        <v>384</v>
      </c>
      <c r="G134" s="14" t="s">
        <v>505</v>
      </c>
      <c r="H134" s="14" t="s">
        <v>530</v>
      </c>
      <c r="I134" s="21" t="s">
        <v>790</v>
      </c>
      <c r="J134" s="14" t="s">
        <v>701</v>
      </c>
      <c r="K134" s="48" t="s">
        <v>767</v>
      </c>
      <c r="L134" s="14">
        <v>1</v>
      </c>
      <c r="M134" s="14">
        <f t="shared" si="35"/>
        <v>3</v>
      </c>
      <c r="N134" s="14">
        <v>50</v>
      </c>
      <c r="O134" s="53" t="s">
        <v>814</v>
      </c>
      <c r="P134" s="15">
        <v>8.0000000000000002E-3</v>
      </c>
      <c r="Q134" s="15">
        <f>P134*N134</f>
        <v>0.4</v>
      </c>
      <c r="R134" s="14"/>
      <c r="S134" s="20"/>
    </row>
    <row r="135" spans="1:19" x14ac:dyDescent="0.25">
      <c r="A135" s="1"/>
      <c r="B135" s="17">
        <f t="shared" si="0"/>
        <v>128</v>
      </c>
      <c r="C135" s="24" t="s">
        <v>34</v>
      </c>
      <c r="D135" s="21" t="s">
        <v>161</v>
      </c>
      <c r="E135" s="21" t="s">
        <v>308</v>
      </c>
      <c r="F135" s="14" t="s">
        <v>387</v>
      </c>
      <c r="G135" s="44" t="s">
        <v>506</v>
      </c>
      <c r="H135" s="21" t="s">
        <v>569</v>
      </c>
      <c r="I135" s="21" t="s">
        <v>841</v>
      </c>
      <c r="J135" s="21" t="s">
        <v>842</v>
      </c>
      <c r="K135" s="43" t="s">
        <v>751</v>
      </c>
      <c r="L135" s="21">
        <v>2</v>
      </c>
      <c r="M135" s="14">
        <f t="shared" si="35"/>
        <v>6</v>
      </c>
      <c r="N135" s="21">
        <v>50</v>
      </c>
      <c r="O135" s="53" t="s">
        <v>814</v>
      </c>
      <c r="P135" s="15">
        <v>7.4999999999999997E-3</v>
      </c>
      <c r="Q135" s="22">
        <f t="shared" ref="Q135" si="63">P135*N135</f>
        <v>0.375</v>
      </c>
      <c r="R135" s="21"/>
      <c r="S135" s="21"/>
    </row>
    <row r="136" spans="1:19" ht="36" x14ac:dyDescent="0.25">
      <c r="A136" s="1"/>
      <c r="B136" s="16">
        <f>ROW(B136) - ROW($B$7)</f>
        <v>129</v>
      </c>
      <c r="C136" s="23" t="s">
        <v>791</v>
      </c>
      <c r="D136" s="14" t="s">
        <v>162</v>
      </c>
      <c r="E136" s="14" t="s">
        <v>309</v>
      </c>
      <c r="F136" s="21" t="s">
        <v>812</v>
      </c>
      <c r="G136" s="14" t="s">
        <v>507</v>
      </c>
      <c r="H136" s="14" t="s">
        <v>570</v>
      </c>
      <c r="I136" s="14" t="s">
        <v>790</v>
      </c>
      <c r="J136" s="14" t="s">
        <v>702</v>
      </c>
      <c r="K136" s="48" t="s">
        <v>790</v>
      </c>
      <c r="L136" s="14">
        <v>6</v>
      </c>
      <c r="M136" s="14">
        <f t="shared" si="35"/>
        <v>18</v>
      </c>
      <c r="N136" s="14">
        <v>20</v>
      </c>
      <c r="O136" s="53" t="s">
        <v>814</v>
      </c>
      <c r="P136" s="15">
        <v>0.25340000000000001</v>
      </c>
      <c r="Q136" s="15">
        <f>P136*N136</f>
        <v>5.0680000000000005</v>
      </c>
      <c r="R136" s="14"/>
      <c r="S136" s="20"/>
    </row>
    <row r="137" spans="1:19" ht="24" x14ac:dyDescent="0.25">
      <c r="A137" s="1"/>
      <c r="B137" s="17">
        <f t="shared" si="0"/>
        <v>130</v>
      </c>
      <c r="C137" s="24" t="s">
        <v>36</v>
      </c>
      <c r="D137" s="21" t="s">
        <v>163</v>
      </c>
      <c r="E137" s="43" t="s">
        <v>876</v>
      </c>
      <c r="F137" s="14" t="s">
        <v>877</v>
      </c>
      <c r="G137" s="43" t="s">
        <v>878</v>
      </c>
      <c r="H137" s="14" t="s">
        <v>574</v>
      </c>
      <c r="I137" s="14" t="s">
        <v>790</v>
      </c>
      <c r="J137" s="21" t="s">
        <v>882</v>
      </c>
      <c r="K137" s="48" t="s">
        <v>790</v>
      </c>
      <c r="L137" s="21">
        <v>1</v>
      </c>
      <c r="M137" s="14">
        <f t="shared" ref="M137:M172" si="64">L137*3</f>
        <v>3</v>
      </c>
      <c r="N137" s="21">
        <v>4</v>
      </c>
      <c r="O137" s="53" t="s">
        <v>814</v>
      </c>
      <c r="P137" s="15">
        <v>1.5758000000000001</v>
      </c>
      <c r="Q137" s="22">
        <f t="shared" ref="Q137" si="65">P137*N137</f>
        <v>6.3032000000000004</v>
      </c>
      <c r="R137" s="21"/>
      <c r="S137" s="21"/>
    </row>
    <row r="138" spans="1:19" x14ac:dyDescent="0.25">
      <c r="A138" s="1"/>
      <c r="B138" s="16">
        <f>ROW(B138) - ROW($B$7)</f>
        <v>131</v>
      </c>
      <c r="C138" s="23" t="s">
        <v>36</v>
      </c>
      <c r="D138" s="14" t="s">
        <v>164</v>
      </c>
      <c r="E138" s="14" t="s">
        <v>826</v>
      </c>
      <c r="F138" s="14" t="s">
        <v>388</v>
      </c>
      <c r="G138" s="14" t="s">
        <v>820</v>
      </c>
      <c r="H138" s="14" t="s">
        <v>571</v>
      </c>
      <c r="I138" s="14" t="s">
        <v>790</v>
      </c>
      <c r="J138" s="14" t="s">
        <v>827</v>
      </c>
      <c r="K138" s="48" t="s">
        <v>790</v>
      </c>
      <c r="L138" s="14">
        <v>1</v>
      </c>
      <c r="M138" s="14">
        <f t="shared" si="64"/>
        <v>3</v>
      </c>
      <c r="N138" s="14">
        <v>4</v>
      </c>
      <c r="O138" s="53" t="s">
        <v>814</v>
      </c>
      <c r="P138" s="15">
        <v>0.41949999999999998</v>
      </c>
      <c r="Q138" s="15">
        <f>P138*N138</f>
        <v>1.6779999999999999</v>
      </c>
      <c r="R138" s="14"/>
      <c r="S138" s="20"/>
    </row>
    <row r="139" spans="1:19" x14ac:dyDescent="0.25">
      <c r="A139" s="1"/>
      <c r="B139" s="17">
        <f t="shared" si="0"/>
        <v>132</v>
      </c>
      <c r="C139" s="23" t="s">
        <v>36</v>
      </c>
      <c r="D139" s="21" t="s">
        <v>165</v>
      </c>
      <c r="E139" s="21" t="s">
        <v>310</v>
      </c>
      <c r="F139" s="14" t="s">
        <v>389</v>
      </c>
      <c r="G139" s="21" t="s">
        <v>508</v>
      </c>
      <c r="H139" s="21" t="s">
        <v>538</v>
      </c>
      <c r="I139" s="14" t="s">
        <v>790</v>
      </c>
      <c r="J139" s="21" t="s">
        <v>828</v>
      </c>
      <c r="K139" s="48" t="s">
        <v>790</v>
      </c>
      <c r="L139" s="21">
        <v>2</v>
      </c>
      <c r="M139" s="14">
        <f t="shared" si="64"/>
        <v>6</v>
      </c>
      <c r="N139" s="21">
        <v>10</v>
      </c>
      <c r="O139" s="53" t="s">
        <v>814</v>
      </c>
      <c r="P139" s="15">
        <v>6.5100000000000005E-2</v>
      </c>
      <c r="Q139" s="22">
        <f t="shared" ref="Q139" si="66">P139*N139</f>
        <v>0.65100000000000002</v>
      </c>
      <c r="R139" s="21"/>
      <c r="S139" s="21"/>
    </row>
    <row r="140" spans="1:19" x14ac:dyDescent="0.25">
      <c r="A140" s="1"/>
      <c r="B140" s="16">
        <f>ROW(B140) - ROW($B$7)</f>
        <v>133</v>
      </c>
      <c r="C140" s="23" t="s">
        <v>36</v>
      </c>
      <c r="D140" s="14" t="s">
        <v>166</v>
      </c>
      <c r="E140" s="14" t="s">
        <v>311</v>
      </c>
      <c r="F140" s="21" t="s">
        <v>390</v>
      </c>
      <c r="G140" s="14" t="s">
        <v>509</v>
      </c>
      <c r="H140" s="14" t="s">
        <v>571</v>
      </c>
      <c r="I140" s="14" t="s">
        <v>790</v>
      </c>
      <c r="J140" s="14" t="s">
        <v>829</v>
      </c>
      <c r="K140" s="48" t="s">
        <v>790</v>
      </c>
      <c r="L140" s="14">
        <v>1</v>
      </c>
      <c r="M140" s="14">
        <f t="shared" si="64"/>
        <v>3</v>
      </c>
      <c r="N140" s="14">
        <v>4</v>
      </c>
      <c r="O140" s="53" t="s">
        <v>814</v>
      </c>
      <c r="P140" s="15">
        <v>0.70530000000000004</v>
      </c>
      <c r="Q140" s="15">
        <f>P140*N140</f>
        <v>2.8212000000000002</v>
      </c>
      <c r="R140" s="14"/>
      <c r="S140" s="20"/>
    </row>
    <row r="141" spans="1:19" ht="24" x14ac:dyDescent="0.25">
      <c r="A141" s="1"/>
      <c r="B141" s="17">
        <f t="shared" si="0"/>
        <v>134</v>
      </c>
      <c r="C141" s="24" t="s">
        <v>36</v>
      </c>
      <c r="D141" s="21" t="s">
        <v>167</v>
      </c>
      <c r="E141" s="21" t="s">
        <v>312</v>
      </c>
      <c r="F141" s="14" t="s">
        <v>391</v>
      </c>
      <c r="G141" s="21" t="s">
        <v>510</v>
      </c>
      <c r="H141" s="21" t="s">
        <v>572</v>
      </c>
      <c r="I141" s="14" t="s">
        <v>790</v>
      </c>
      <c r="J141" s="21" t="s">
        <v>703</v>
      </c>
      <c r="K141" s="48" t="s">
        <v>790</v>
      </c>
      <c r="L141" s="21">
        <v>4</v>
      </c>
      <c r="M141" s="14">
        <f t="shared" si="64"/>
        <v>12</v>
      </c>
      <c r="N141" s="21">
        <v>15</v>
      </c>
      <c r="O141" s="53" t="s">
        <v>814</v>
      </c>
      <c r="P141" s="15">
        <v>9.3799999999999994E-2</v>
      </c>
      <c r="Q141" s="22">
        <f t="shared" ref="Q141" si="67">P141*N141</f>
        <v>1.407</v>
      </c>
      <c r="R141" s="21"/>
      <c r="S141" s="21"/>
    </row>
    <row r="142" spans="1:19" x14ac:dyDescent="0.25">
      <c r="A142" s="1"/>
      <c r="B142" s="16">
        <f>ROW(B142) - ROW($B$7)</f>
        <v>135</v>
      </c>
      <c r="C142" s="23" t="s">
        <v>36</v>
      </c>
      <c r="D142" s="14" t="s">
        <v>168</v>
      </c>
      <c r="E142" s="14" t="s">
        <v>313</v>
      </c>
      <c r="F142" s="21" t="s">
        <v>392</v>
      </c>
      <c r="G142" s="14" t="s">
        <v>511</v>
      </c>
      <c r="H142" s="14" t="s">
        <v>573</v>
      </c>
      <c r="I142" s="14" t="s">
        <v>790</v>
      </c>
      <c r="J142" s="14" t="s">
        <v>704</v>
      </c>
      <c r="K142" s="48" t="s">
        <v>790</v>
      </c>
      <c r="L142" s="14">
        <v>1</v>
      </c>
      <c r="M142" s="14">
        <f t="shared" si="64"/>
        <v>3</v>
      </c>
      <c r="N142" s="14">
        <v>4</v>
      </c>
      <c r="O142" s="53" t="s">
        <v>814</v>
      </c>
      <c r="P142" s="15">
        <v>1.325</v>
      </c>
      <c r="Q142" s="15">
        <f>P142*N142</f>
        <v>5.3</v>
      </c>
      <c r="R142" s="14"/>
      <c r="S142" s="20"/>
    </row>
    <row r="143" spans="1:19" ht="24" x14ac:dyDescent="0.25">
      <c r="A143" s="1"/>
      <c r="B143" s="17">
        <f t="shared" si="0"/>
        <v>136</v>
      </c>
      <c r="C143" s="24" t="s">
        <v>36</v>
      </c>
      <c r="D143" s="21" t="s">
        <v>169</v>
      </c>
      <c r="E143" s="21" t="s">
        <v>314</v>
      </c>
      <c r="F143" s="14" t="s">
        <v>393</v>
      </c>
      <c r="G143" s="21" t="s">
        <v>512</v>
      </c>
      <c r="H143" s="21" t="s">
        <v>571</v>
      </c>
      <c r="I143" s="14" t="s">
        <v>790</v>
      </c>
      <c r="J143" s="21" t="s">
        <v>705</v>
      </c>
      <c r="K143" s="48" t="s">
        <v>790</v>
      </c>
      <c r="L143" s="21">
        <v>1</v>
      </c>
      <c r="M143" s="14">
        <f t="shared" si="64"/>
        <v>3</v>
      </c>
      <c r="N143" s="21">
        <v>4</v>
      </c>
      <c r="O143" s="53" t="s">
        <v>814</v>
      </c>
      <c r="P143" s="15">
        <v>1.2709999999999999</v>
      </c>
      <c r="Q143" s="22">
        <f t="shared" ref="Q143" si="68">P143*N143</f>
        <v>5.0839999999999996</v>
      </c>
      <c r="R143" s="21"/>
      <c r="S143" s="21"/>
    </row>
    <row r="144" spans="1:19" x14ac:dyDescent="0.25">
      <c r="A144" s="1"/>
      <c r="B144" s="16">
        <f>ROW(B144) - ROW($B$7)</f>
        <v>137</v>
      </c>
      <c r="C144" s="23" t="s">
        <v>36</v>
      </c>
      <c r="D144" s="14" t="s">
        <v>170</v>
      </c>
      <c r="E144" s="14" t="s">
        <v>315</v>
      </c>
      <c r="F144" s="21" t="s">
        <v>394</v>
      </c>
      <c r="G144" s="14" t="s">
        <v>513</v>
      </c>
      <c r="H144" s="14" t="s">
        <v>574</v>
      </c>
      <c r="I144" s="14" t="s">
        <v>790</v>
      </c>
      <c r="J144" s="14" t="s">
        <v>790</v>
      </c>
      <c r="K144" s="48" t="s">
        <v>790</v>
      </c>
      <c r="L144" s="14">
        <v>1</v>
      </c>
      <c r="M144" s="14">
        <f t="shared" si="64"/>
        <v>3</v>
      </c>
      <c r="N144" s="14">
        <v>4</v>
      </c>
      <c r="O144" s="53" t="s">
        <v>843</v>
      </c>
      <c r="P144" s="15">
        <v>2.64</v>
      </c>
      <c r="Q144" s="15">
        <f>P144*N144</f>
        <v>10.56</v>
      </c>
      <c r="R144" s="14"/>
      <c r="S144" s="20"/>
    </row>
    <row r="145" spans="1:19" x14ac:dyDescent="0.25">
      <c r="A145" s="1"/>
      <c r="B145" s="17">
        <f t="shared" si="0"/>
        <v>138</v>
      </c>
      <c r="C145" s="24" t="s">
        <v>36</v>
      </c>
      <c r="D145" s="21" t="s">
        <v>171</v>
      </c>
      <c r="E145" s="21" t="s">
        <v>316</v>
      </c>
      <c r="F145" s="14" t="s">
        <v>394</v>
      </c>
      <c r="G145" s="21" t="s">
        <v>514</v>
      </c>
      <c r="H145" s="21" t="s">
        <v>575</v>
      </c>
      <c r="I145" s="14" t="s">
        <v>790</v>
      </c>
      <c r="J145" s="21" t="s">
        <v>790</v>
      </c>
      <c r="K145" s="48" t="s">
        <v>790</v>
      </c>
      <c r="L145" s="21">
        <v>1</v>
      </c>
      <c r="M145" s="14">
        <f t="shared" si="64"/>
        <v>3</v>
      </c>
      <c r="N145" s="21">
        <v>4</v>
      </c>
      <c r="O145" s="53" t="s">
        <v>843</v>
      </c>
      <c r="P145" s="15">
        <v>2.91</v>
      </c>
      <c r="Q145" s="22">
        <f t="shared" ref="Q145" si="69">P145*N145</f>
        <v>11.64</v>
      </c>
      <c r="R145" s="21"/>
      <c r="S145" s="21"/>
    </row>
    <row r="146" spans="1:19" ht="24" x14ac:dyDescent="0.25">
      <c r="A146" s="1"/>
      <c r="B146" s="16">
        <f>ROW(B146) - ROW($B$7)</f>
        <v>139</v>
      </c>
      <c r="C146" s="23" t="s">
        <v>37</v>
      </c>
      <c r="D146" s="14" t="s">
        <v>172</v>
      </c>
      <c r="E146" s="14" t="s">
        <v>317</v>
      </c>
      <c r="F146" s="21" t="s">
        <v>812</v>
      </c>
      <c r="G146" s="14" t="s">
        <v>395</v>
      </c>
      <c r="H146" s="14" t="s">
        <v>576</v>
      </c>
      <c r="I146" s="14" t="s">
        <v>790</v>
      </c>
      <c r="J146" s="14" t="s">
        <v>706</v>
      </c>
      <c r="K146" s="48" t="s">
        <v>790</v>
      </c>
      <c r="L146" s="14">
        <v>1</v>
      </c>
      <c r="M146" s="14">
        <f t="shared" si="64"/>
        <v>3</v>
      </c>
      <c r="N146" s="14">
        <v>4</v>
      </c>
      <c r="O146" s="53" t="s">
        <v>844</v>
      </c>
      <c r="P146" s="15">
        <v>9.9945000000000004</v>
      </c>
      <c r="Q146" s="15">
        <f>P146*N146</f>
        <v>39.978000000000002</v>
      </c>
      <c r="R146" s="14"/>
      <c r="S146" s="20"/>
    </row>
    <row r="147" spans="1:19" x14ac:dyDescent="0.25">
      <c r="A147" s="1"/>
      <c r="B147" s="17">
        <f t="shared" si="0"/>
        <v>140</v>
      </c>
      <c r="C147" s="24" t="s">
        <v>36</v>
      </c>
      <c r="D147" s="21" t="s">
        <v>173</v>
      </c>
      <c r="E147" s="21" t="s">
        <v>318</v>
      </c>
      <c r="F147" s="21" t="s">
        <v>812</v>
      </c>
      <c r="G147" s="21" t="s">
        <v>396</v>
      </c>
      <c r="H147" s="21" t="s">
        <v>571</v>
      </c>
      <c r="I147" s="14" t="s">
        <v>790</v>
      </c>
      <c r="J147" s="21" t="s">
        <v>830</v>
      </c>
      <c r="K147" s="48" t="s">
        <v>790</v>
      </c>
      <c r="L147" s="21">
        <v>1</v>
      </c>
      <c r="M147" s="14">
        <f t="shared" si="64"/>
        <v>3</v>
      </c>
      <c r="N147" s="21">
        <v>4</v>
      </c>
      <c r="O147" s="53" t="s">
        <v>814</v>
      </c>
      <c r="P147" s="15">
        <v>0.47289999999999999</v>
      </c>
      <c r="Q147" s="22">
        <f t="shared" ref="Q147" si="70">P147*N147</f>
        <v>1.8915999999999999</v>
      </c>
      <c r="R147" s="21"/>
      <c r="S147" s="21"/>
    </row>
    <row r="148" spans="1:19" ht="24" x14ac:dyDescent="0.25">
      <c r="A148" s="1"/>
      <c r="B148" s="16">
        <f>ROW(B148) - ROW($B$7)</f>
        <v>141</v>
      </c>
      <c r="C148" s="23" t="s">
        <v>38</v>
      </c>
      <c r="D148" s="14" t="s">
        <v>174</v>
      </c>
      <c r="E148" s="14" t="s">
        <v>319</v>
      </c>
      <c r="F148" s="21" t="s">
        <v>349</v>
      </c>
      <c r="G148" s="14" t="s">
        <v>515</v>
      </c>
      <c r="H148" s="14" t="s">
        <v>577</v>
      </c>
      <c r="I148" s="14" t="s">
        <v>790</v>
      </c>
      <c r="J148" s="14" t="s">
        <v>707</v>
      </c>
      <c r="K148" s="48" t="s">
        <v>790</v>
      </c>
      <c r="L148" s="14">
        <v>2</v>
      </c>
      <c r="M148" s="14">
        <f t="shared" si="64"/>
        <v>6</v>
      </c>
      <c r="N148" s="14">
        <v>10</v>
      </c>
      <c r="O148" s="53" t="s">
        <v>814</v>
      </c>
      <c r="P148" s="15">
        <v>2.3199999999999998E-2</v>
      </c>
      <c r="Q148" s="15">
        <f>P148*N148</f>
        <v>0.23199999999999998</v>
      </c>
      <c r="R148" s="14"/>
      <c r="S148" s="20"/>
    </row>
    <row r="149" spans="1:19" ht="24" x14ac:dyDescent="0.25">
      <c r="A149" s="1"/>
      <c r="B149" s="17">
        <f t="shared" si="0"/>
        <v>142</v>
      </c>
      <c r="C149" s="24" t="s">
        <v>36</v>
      </c>
      <c r="D149" s="21" t="s">
        <v>175</v>
      </c>
      <c r="E149" s="21" t="s">
        <v>320</v>
      </c>
      <c r="F149" s="21" t="s">
        <v>812</v>
      </c>
      <c r="G149" s="21" t="s">
        <v>516</v>
      </c>
      <c r="H149" s="21" t="s">
        <v>578</v>
      </c>
      <c r="I149" s="14" t="s">
        <v>790</v>
      </c>
      <c r="J149" s="21" t="s">
        <v>831</v>
      </c>
      <c r="K149" s="48" t="s">
        <v>790</v>
      </c>
      <c r="L149" s="21">
        <v>1</v>
      </c>
      <c r="M149" s="14">
        <f t="shared" si="64"/>
        <v>3</v>
      </c>
      <c r="N149" s="21">
        <v>4</v>
      </c>
      <c r="O149" s="53" t="s">
        <v>814</v>
      </c>
      <c r="P149" s="15">
        <v>8.3531999999999993</v>
      </c>
      <c r="Q149" s="22">
        <f t="shared" ref="Q149" si="71">P149*N149</f>
        <v>33.412799999999997</v>
      </c>
      <c r="R149" s="21"/>
      <c r="S149" s="21"/>
    </row>
    <row r="150" spans="1:19" ht="25.5" x14ac:dyDescent="0.25">
      <c r="A150" s="1"/>
      <c r="B150" s="16">
        <f>ROW(B150) - ROW($B$7)</f>
        <v>143</v>
      </c>
      <c r="C150" s="23" t="s">
        <v>39</v>
      </c>
      <c r="D150" s="14" t="s">
        <v>176</v>
      </c>
      <c r="E150" s="14" t="s">
        <v>321</v>
      </c>
      <c r="F150" s="21" t="s">
        <v>397</v>
      </c>
      <c r="G150" s="14" t="s">
        <v>517</v>
      </c>
      <c r="H150" s="14" t="s">
        <v>579</v>
      </c>
      <c r="I150" s="14" t="s">
        <v>790</v>
      </c>
      <c r="J150" s="14" t="s">
        <v>708</v>
      </c>
      <c r="K150" s="48" t="s">
        <v>790</v>
      </c>
      <c r="L150" s="14">
        <v>1</v>
      </c>
      <c r="M150" s="14">
        <f t="shared" si="64"/>
        <v>3</v>
      </c>
      <c r="N150" s="14">
        <v>4</v>
      </c>
      <c r="O150" s="53" t="s">
        <v>814</v>
      </c>
      <c r="P150" s="15">
        <v>0.63719999999999999</v>
      </c>
      <c r="Q150" s="15">
        <f>P150*N150</f>
        <v>2.5488</v>
      </c>
      <c r="R150" s="14"/>
      <c r="S150" s="20"/>
    </row>
    <row r="151" spans="1:19" ht="60" x14ac:dyDescent="0.25">
      <c r="A151" s="1"/>
      <c r="B151" s="17">
        <f t="shared" si="0"/>
        <v>144</v>
      </c>
      <c r="C151" s="24" t="s">
        <v>36</v>
      </c>
      <c r="D151" s="21" t="s">
        <v>177</v>
      </c>
      <c r="E151" s="21" t="s">
        <v>322</v>
      </c>
      <c r="F151" s="14" t="s">
        <v>398</v>
      </c>
      <c r="G151" s="21" t="s">
        <v>518</v>
      </c>
      <c r="H151" s="21" t="s">
        <v>580</v>
      </c>
      <c r="I151" s="14" t="s">
        <v>790</v>
      </c>
      <c r="J151" s="21" t="s">
        <v>709</v>
      </c>
      <c r="K151" s="48" t="s">
        <v>790</v>
      </c>
      <c r="L151" s="21">
        <v>1</v>
      </c>
      <c r="M151" s="14">
        <f t="shared" si="64"/>
        <v>3</v>
      </c>
      <c r="N151" s="21">
        <v>5</v>
      </c>
      <c r="O151" s="53" t="s">
        <v>814</v>
      </c>
      <c r="P151" s="15">
        <v>7.8799999999999995E-2</v>
      </c>
      <c r="Q151" s="22">
        <f t="shared" ref="Q151" si="72">P151*N151</f>
        <v>0.39399999999999996</v>
      </c>
      <c r="R151" s="21"/>
      <c r="S151" s="21"/>
    </row>
    <row r="152" spans="1:19" x14ac:dyDescent="0.25">
      <c r="A152" s="1"/>
      <c r="B152" s="16">
        <f>ROW(B152) - ROW($B$7)</f>
        <v>145</v>
      </c>
      <c r="C152" s="24" t="s">
        <v>36</v>
      </c>
      <c r="D152" s="14" t="s">
        <v>178</v>
      </c>
      <c r="E152" s="14" t="s">
        <v>323</v>
      </c>
      <c r="F152" s="21" t="s">
        <v>813</v>
      </c>
      <c r="G152" s="14" t="s">
        <v>399</v>
      </c>
      <c r="H152" s="14" t="s">
        <v>581</v>
      </c>
      <c r="I152" s="14" t="s">
        <v>790</v>
      </c>
      <c r="J152" s="14" t="s">
        <v>832</v>
      </c>
      <c r="K152" s="48" t="s">
        <v>790</v>
      </c>
      <c r="L152" s="14">
        <v>1</v>
      </c>
      <c r="M152" s="14">
        <f t="shared" si="64"/>
        <v>3</v>
      </c>
      <c r="N152" s="14">
        <v>4</v>
      </c>
      <c r="O152" s="53" t="s">
        <v>814</v>
      </c>
      <c r="P152" s="15">
        <v>1.9015</v>
      </c>
      <c r="Q152" s="15">
        <f>P152*N152</f>
        <v>7.6059999999999999</v>
      </c>
      <c r="R152" s="14"/>
      <c r="S152" s="20"/>
    </row>
    <row r="153" spans="1:19" x14ac:dyDescent="0.25">
      <c r="A153" s="1"/>
      <c r="B153" s="17">
        <f t="shared" si="0"/>
        <v>146</v>
      </c>
      <c r="C153" s="24" t="s">
        <v>36</v>
      </c>
      <c r="D153" s="21" t="s">
        <v>179</v>
      </c>
      <c r="E153" s="21" t="s">
        <v>324</v>
      </c>
      <c r="F153" s="14" t="s">
        <v>400</v>
      </c>
      <c r="G153" s="21" t="s">
        <v>519</v>
      </c>
      <c r="H153" s="21" t="s">
        <v>571</v>
      </c>
      <c r="I153" s="14" t="s">
        <v>790</v>
      </c>
      <c r="J153" s="21" t="s">
        <v>710</v>
      </c>
      <c r="K153" s="48" t="s">
        <v>790</v>
      </c>
      <c r="L153" s="21">
        <v>1</v>
      </c>
      <c r="M153" s="14">
        <f t="shared" si="64"/>
        <v>3</v>
      </c>
      <c r="N153" s="21">
        <v>5</v>
      </c>
      <c r="O153" s="53" t="s">
        <v>814</v>
      </c>
      <c r="P153" s="22">
        <v>0.2155</v>
      </c>
      <c r="Q153" s="22">
        <f t="shared" ref="Q153" si="73">P153*N153</f>
        <v>1.0774999999999999</v>
      </c>
      <c r="R153" s="21"/>
      <c r="S153" s="21"/>
    </row>
    <row r="154" spans="1:19" x14ac:dyDescent="0.25">
      <c r="A154" s="1"/>
      <c r="B154" s="16">
        <f>ROW(B154) - ROW($B$7)</f>
        <v>147</v>
      </c>
      <c r="C154" s="23" t="s">
        <v>36</v>
      </c>
      <c r="D154" s="14" t="s">
        <v>180</v>
      </c>
      <c r="E154" s="14" t="s">
        <v>325</v>
      </c>
      <c r="F154" s="21" t="s">
        <v>401</v>
      </c>
      <c r="G154" s="14" t="s">
        <v>520</v>
      </c>
      <c r="H154" s="14" t="s">
        <v>582</v>
      </c>
      <c r="I154" s="14" t="s">
        <v>790</v>
      </c>
      <c r="J154" s="14" t="s">
        <v>711</v>
      </c>
      <c r="K154" s="48" t="s">
        <v>790</v>
      </c>
      <c r="L154" s="14">
        <v>2</v>
      </c>
      <c r="M154" s="14">
        <f t="shared" si="64"/>
        <v>6</v>
      </c>
      <c r="N154" s="14">
        <v>7</v>
      </c>
      <c r="O154" s="53" t="s">
        <v>814</v>
      </c>
      <c r="P154" s="15">
        <v>0.99080000000000001</v>
      </c>
      <c r="Q154" s="15">
        <f>P154*N154</f>
        <v>6.9356</v>
      </c>
      <c r="R154" s="14"/>
      <c r="S154" s="20"/>
    </row>
    <row r="155" spans="1:19" ht="24" x14ac:dyDescent="0.25">
      <c r="A155" s="1"/>
      <c r="B155" s="17">
        <f t="shared" si="0"/>
        <v>148</v>
      </c>
      <c r="C155" s="24" t="s">
        <v>36</v>
      </c>
      <c r="D155" s="21" t="s">
        <v>181</v>
      </c>
      <c r="E155" s="21" t="s">
        <v>326</v>
      </c>
      <c r="F155" s="14" t="s">
        <v>812</v>
      </c>
      <c r="G155" s="21" t="s">
        <v>521</v>
      </c>
      <c r="H155" s="21" t="s">
        <v>583</v>
      </c>
      <c r="I155" s="14" t="s">
        <v>790</v>
      </c>
      <c r="J155" s="21" t="s">
        <v>712</v>
      </c>
      <c r="K155" s="48" t="s">
        <v>790</v>
      </c>
      <c r="L155" s="21">
        <v>1</v>
      </c>
      <c r="M155" s="14">
        <f t="shared" si="64"/>
        <v>3</v>
      </c>
      <c r="N155" s="21">
        <v>4</v>
      </c>
      <c r="O155" s="53" t="s">
        <v>843</v>
      </c>
      <c r="P155" s="22">
        <v>0.61199999999999999</v>
      </c>
      <c r="Q155" s="22">
        <f t="shared" ref="Q155" si="74">P155*N155</f>
        <v>2.448</v>
      </c>
      <c r="R155" s="21"/>
      <c r="S155" s="21"/>
    </row>
    <row r="156" spans="1:19" x14ac:dyDescent="0.25">
      <c r="A156" s="1"/>
      <c r="B156" s="16">
        <f>ROW(B156) - ROW($B$7)</f>
        <v>149</v>
      </c>
      <c r="C156" s="23" t="s">
        <v>36</v>
      </c>
      <c r="D156" s="14" t="s">
        <v>182</v>
      </c>
      <c r="E156" s="14" t="s">
        <v>327</v>
      </c>
      <c r="F156" s="14" t="s">
        <v>402</v>
      </c>
      <c r="G156" s="14" t="s">
        <v>522</v>
      </c>
      <c r="H156" s="14" t="s">
        <v>584</v>
      </c>
      <c r="I156" s="14" t="s">
        <v>790</v>
      </c>
      <c r="J156" s="14" t="s">
        <v>713</v>
      </c>
      <c r="K156" s="48" t="s">
        <v>790</v>
      </c>
      <c r="L156" s="14">
        <v>1</v>
      </c>
      <c r="M156" s="14">
        <f t="shared" si="64"/>
        <v>3</v>
      </c>
      <c r="N156" s="14">
        <v>4</v>
      </c>
      <c r="O156" s="53" t="s">
        <v>814</v>
      </c>
      <c r="P156" s="15">
        <v>1.0852999999999999</v>
      </c>
      <c r="Q156" s="15">
        <f>P156*N156</f>
        <v>4.3411999999999997</v>
      </c>
      <c r="R156" s="14"/>
      <c r="S156" s="20"/>
    </row>
    <row r="157" spans="1:19" ht="24" x14ac:dyDescent="0.25">
      <c r="A157" s="1"/>
      <c r="B157" s="17">
        <f t="shared" si="0"/>
        <v>150</v>
      </c>
      <c r="C157" s="24" t="s">
        <v>36</v>
      </c>
      <c r="D157" s="21" t="s">
        <v>183</v>
      </c>
      <c r="E157" s="21" t="s">
        <v>328</v>
      </c>
      <c r="F157" s="21" t="s">
        <v>403</v>
      </c>
      <c r="G157" s="21" t="s">
        <v>523</v>
      </c>
      <c r="H157" s="21" t="s">
        <v>585</v>
      </c>
      <c r="I157" s="14" t="s">
        <v>790</v>
      </c>
      <c r="J157" s="21" t="s">
        <v>714</v>
      </c>
      <c r="K157" s="48" t="s">
        <v>790</v>
      </c>
      <c r="L157" s="21">
        <v>1</v>
      </c>
      <c r="M157" s="14">
        <f t="shared" si="64"/>
        <v>3</v>
      </c>
      <c r="N157" s="21">
        <v>4</v>
      </c>
      <c r="O157" s="53" t="s">
        <v>814</v>
      </c>
      <c r="P157" s="22">
        <v>0.65039999999999998</v>
      </c>
      <c r="Q157" s="22">
        <f t="shared" ref="Q157" si="75">P157*N157</f>
        <v>2.6015999999999999</v>
      </c>
      <c r="R157" s="21"/>
      <c r="S157" s="21"/>
    </row>
    <row r="158" spans="1:19" x14ac:dyDescent="0.25">
      <c r="A158" s="1"/>
      <c r="B158" s="16">
        <f>ROW(B158) - ROW($B$7)</f>
        <v>151</v>
      </c>
      <c r="C158" s="23" t="s">
        <v>36</v>
      </c>
      <c r="D158" s="14" t="s">
        <v>184</v>
      </c>
      <c r="E158" s="14" t="s">
        <v>329</v>
      </c>
      <c r="F158" s="14" t="s">
        <v>404</v>
      </c>
      <c r="G158" s="14" t="s">
        <v>524</v>
      </c>
      <c r="H158" s="14" t="s">
        <v>571</v>
      </c>
      <c r="I158" s="14" t="s">
        <v>790</v>
      </c>
      <c r="J158" s="14" t="s">
        <v>715</v>
      </c>
      <c r="K158" s="48" t="s">
        <v>790</v>
      </c>
      <c r="L158" s="14">
        <v>1</v>
      </c>
      <c r="M158" s="14">
        <f t="shared" si="64"/>
        <v>3</v>
      </c>
      <c r="N158" s="14">
        <v>4</v>
      </c>
      <c r="O158" s="53" t="s">
        <v>814</v>
      </c>
      <c r="P158" s="15">
        <v>1.2130000000000001</v>
      </c>
      <c r="Q158" s="15">
        <f>P158*N158</f>
        <v>4.8520000000000003</v>
      </c>
      <c r="R158" s="14"/>
      <c r="S158" s="20"/>
    </row>
    <row r="159" spans="1:19" x14ac:dyDescent="0.25">
      <c r="A159" s="1"/>
      <c r="B159" s="17">
        <f t="shared" si="0"/>
        <v>152</v>
      </c>
      <c r="C159" s="24" t="s">
        <v>36</v>
      </c>
      <c r="D159" s="21" t="s">
        <v>185</v>
      </c>
      <c r="E159" s="21" t="s">
        <v>330</v>
      </c>
      <c r="F159" s="21" t="s">
        <v>812</v>
      </c>
      <c r="G159" s="21" t="s">
        <v>405</v>
      </c>
      <c r="H159" s="21" t="s">
        <v>586</v>
      </c>
      <c r="I159" s="14" t="s">
        <v>790</v>
      </c>
      <c r="J159" s="21" t="s">
        <v>716</v>
      </c>
      <c r="K159" s="48" t="s">
        <v>790</v>
      </c>
      <c r="L159" s="21">
        <v>1</v>
      </c>
      <c r="M159" s="14">
        <f t="shared" si="64"/>
        <v>3</v>
      </c>
      <c r="N159" s="21">
        <v>5</v>
      </c>
      <c r="O159" s="53" t="s">
        <v>814</v>
      </c>
      <c r="P159" s="22">
        <v>6.6100000000000006E-2</v>
      </c>
      <c r="Q159" s="22">
        <f t="shared" ref="Q159" si="76">P159*N159</f>
        <v>0.33050000000000002</v>
      </c>
      <c r="R159" s="21"/>
      <c r="S159" s="21"/>
    </row>
    <row r="160" spans="1:19" x14ac:dyDescent="0.25">
      <c r="A160" s="1"/>
      <c r="B160" s="16">
        <f>ROW(B160) - ROW($B$7)</f>
        <v>153</v>
      </c>
      <c r="C160" s="23" t="s">
        <v>36</v>
      </c>
      <c r="D160" s="14" t="s">
        <v>186</v>
      </c>
      <c r="E160" s="14" t="s">
        <v>331</v>
      </c>
      <c r="F160" s="14" t="s">
        <v>406</v>
      </c>
      <c r="G160" s="14" t="s">
        <v>525</v>
      </c>
      <c r="H160" s="14" t="s">
        <v>587</v>
      </c>
      <c r="I160" s="14" t="s">
        <v>790</v>
      </c>
      <c r="J160" s="14" t="s">
        <v>717</v>
      </c>
      <c r="K160" s="48" t="s">
        <v>790</v>
      </c>
      <c r="L160" s="14">
        <v>1</v>
      </c>
      <c r="M160" s="14">
        <f t="shared" si="64"/>
        <v>3</v>
      </c>
      <c r="N160" s="14">
        <v>5</v>
      </c>
      <c r="O160" s="53" t="s">
        <v>814</v>
      </c>
      <c r="P160" s="15">
        <v>7.3499999999999996E-2</v>
      </c>
      <c r="Q160" s="15">
        <f>P160*N160</f>
        <v>0.36749999999999999</v>
      </c>
      <c r="R160" s="14"/>
      <c r="S160" s="20"/>
    </row>
    <row r="161" spans="1:26" x14ac:dyDescent="0.25">
      <c r="A161" s="1"/>
      <c r="B161" s="17">
        <f t="shared" si="0"/>
        <v>154</v>
      </c>
      <c r="C161" s="24" t="s">
        <v>36</v>
      </c>
      <c r="D161" s="21" t="s">
        <v>187</v>
      </c>
      <c r="E161" s="21" t="s">
        <v>332</v>
      </c>
      <c r="F161" s="21" t="s">
        <v>407</v>
      </c>
      <c r="G161" s="21" t="s">
        <v>526</v>
      </c>
      <c r="H161" s="21" t="s">
        <v>588</v>
      </c>
      <c r="I161" s="14" t="s">
        <v>790</v>
      </c>
      <c r="J161" s="21" t="s">
        <v>718</v>
      </c>
      <c r="K161" s="48" t="s">
        <v>790</v>
      </c>
      <c r="L161" s="21">
        <v>1</v>
      </c>
      <c r="M161" s="14">
        <f t="shared" si="64"/>
        <v>3</v>
      </c>
      <c r="N161" s="21">
        <v>4</v>
      </c>
      <c r="O161" s="53" t="s">
        <v>814</v>
      </c>
      <c r="P161" s="22">
        <v>0.34460000000000002</v>
      </c>
      <c r="Q161" s="22">
        <f t="shared" ref="Q161" si="77">P161*N161</f>
        <v>1.3784000000000001</v>
      </c>
      <c r="R161" s="21"/>
      <c r="S161" s="21"/>
    </row>
    <row r="162" spans="1:26" ht="24" x14ac:dyDescent="0.25">
      <c r="A162" s="1"/>
      <c r="B162" s="16">
        <f>ROW(B162) - ROW($B$7)</f>
        <v>155</v>
      </c>
      <c r="C162" s="23" t="s">
        <v>36</v>
      </c>
      <c r="D162" s="14" t="s">
        <v>188</v>
      </c>
      <c r="E162" s="14" t="s">
        <v>333</v>
      </c>
      <c r="F162" s="14" t="s">
        <v>408</v>
      </c>
      <c r="G162" s="14" t="s">
        <v>527</v>
      </c>
      <c r="H162" s="14" t="s">
        <v>589</v>
      </c>
      <c r="I162" s="14" t="s">
        <v>790</v>
      </c>
      <c r="J162" s="14" t="s">
        <v>719</v>
      </c>
      <c r="K162" s="48" t="s">
        <v>790</v>
      </c>
      <c r="L162" s="14">
        <v>1</v>
      </c>
      <c r="M162" s="14">
        <f t="shared" si="64"/>
        <v>3</v>
      </c>
      <c r="N162" s="14">
        <v>4</v>
      </c>
      <c r="O162" s="53" t="s">
        <v>814</v>
      </c>
      <c r="P162" s="15">
        <v>0.43209999999999998</v>
      </c>
      <c r="Q162" s="15">
        <f>P162*N162</f>
        <v>1.7283999999999999</v>
      </c>
      <c r="R162" s="14"/>
      <c r="S162" s="20"/>
    </row>
    <row r="163" spans="1:26" ht="36" x14ac:dyDescent="0.25">
      <c r="A163" s="1"/>
      <c r="B163" s="17">
        <f t="shared" si="0"/>
        <v>156</v>
      </c>
      <c r="C163" s="24" t="s">
        <v>40</v>
      </c>
      <c r="D163" s="21" t="s">
        <v>189</v>
      </c>
      <c r="E163" s="21" t="s">
        <v>334</v>
      </c>
      <c r="F163" s="21" t="s">
        <v>812</v>
      </c>
      <c r="G163" s="21" t="s">
        <v>528</v>
      </c>
      <c r="H163" s="21" t="s">
        <v>590</v>
      </c>
      <c r="I163" s="14" t="s">
        <v>790</v>
      </c>
      <c r="J163" s="21" t="s">
        <v>720</v>
      </c>
      <c r="K163" s="48" t="s">
        <v>776</v>
      </c>
      <c r="L163" s="21">
        <v>1</v>
      </c>
      <c r="M163" s="14">
        <f t="shared" si="64"/>
        <v>3</v>
      </c>
      <c r="N163" s="21">
        <v>4</v>
      </c>
      <c r="O163" s="53" t="s">
        <v>814</v>
      </c>
      <c r="P163" s="22">
        <v>0.1893</v>
      </c>
      <c r="Q163" s="22">
        <f t="shared" ref="Q163" si="78">P163*N163</f>
        <v>0.75719999999999998</v>
      </c>
      <c r="R163" s="21"/>
      <c r="S163" s="21"/>
    </row>
    <row r="164" spans="1:26" x14ac:dyDescent="0.25">
      <c r="A164" s="1"/>
      <c r="B164" s="16">
        <f>ROW(B164) - ROW($B$7)</f>
        <v>157</v>
      </c>
      <c r="C164" s="23" t="s">
        <v>40</v>
      </c>
      <c r="D164" s="14" t="s">
        <v>190</v>
      </c>
      <c r="E164" s="14" t="s">
        <v>335</v>
      </c>
      <c r="F164" s="21" t="s">
        <v>812</v>
      </c>
      <c r="G164" s="14" t="s">
        <v>409</v>
      </c>
      <c r="H164" s="14" t="s">
        <v>591</v>
      </c>
      <c r="I164" s="14" t="s">
        <v>790</v>
      </c>
      <c r="J164" s="14" t="s">
        <v>721</v>
      </c>
      <c r="K164" s="43" t="s">
        <v>777</v>
      </c>
      <c r="L164" s="14">
        <v>2</v>
      </c>
      <c r="M164" s="14">
        <f t="shared" si="64"/>
        <v>6</v>
      </c>
      <c r="N164" s="14">
        <v>10</v>
      </c>
      <c r="O164" s="53" t="s">
        <v>814</v>
      </c>
      <c r="P164" s="15">
        <v>0.24660000000000001</v>
      </c>
      <c r="Q164" s="15">
        <f>P164*N164</f>
        <v>2.4660000000000002</v>
      </c>
      <c r="R164" s="14"/>
      <c r="S164" s="20"/>
    </row>
    <row r="165" spans="1:26" x14ac:dyDescent="0.25">
      <c r="A165" s="1"/>
      <c r="B165" s="17">
        <f t="shared" si="0"/>
        <v>158</v>
      </c>
      <c r="C165" s="65" t="s">
        <v>792</v>
      </c>
      <c r="D165" s="46" t="s">
        <v>793</v>
      </c>
      <c r="E165" s="50" t="s">
        <v>850</v>
      </c>
      <c r="F165" s="47" t="s">
        <v>812</v>
      </c>
      <c r="G165" s="50" t="s">
        <v>851</v>
      </c>
      <c r="H165" s="46" t="s">
        <v>550</v>
      </c>
      <c r="I165" s="14" t="s">
        <v>790</v>
      </c>
      <c r="J165" s="46" t="s">
        <v>853</v>
      </c>
      <c r="K165" s="50" t="s">
        <v>790</v>
      </c>
      <c r="L165" s="46">
        <v>1</v>
      </c>
      <c r="M165" s="14">
        <f t="shared" si="64"/>
        <v>3</v>
      </c>
      <c r="N165" s="46">
        <v>4</v>
      </c>
      <c r="O165" s="66" t="s">
        <v>814</v>
      </c>
      <c r="P165" s="67">
        <v>1.0093000000000001</v>
      </c>
      <c r="Q165" s="15">
        <f t="shared" ref="Q165:Q172" si="79">P165*N165</f>
        <v>4.0372000000000003</v>
      </c>
      <c r="R165" s="46"/>
      <c r="S165" s="20"/>
    </row>
    <row r="166" spans="1:26" x14ac:dyDescent="0.25">
      <c r="A166" s="1"/>
      <c r="B166" s="16">
        <f>ROW(B166) - ROW($B$7)</f>
        <v>159</v>
      </c>
      <c r="C166" s="65" t="s">
        <v>792</v>
      </c>
      <c r="D166" s="46" t="s">
        <v>794</v>
      </c>
      <c r="E166" s="50" t="s">
        <v>852</v>
      </c>
      <c r="F166" s="47" t="s">
        <v>790</v>
      </c>
      <c r="G166" s="50" t="s">
        <v>795</v>
      </c>
      <c r="H166" s="46" t="s">
        <v>550</v>
      </c>
      <c r="I166" s="14" t="s">
        <v>790</v>
      </c>
      <c r="J166" s="46" t="s">
        <v>854</v>
      </c>
      <c r="K166" s="50" t="s">
        <v>790</v>
      </c>
      <c r="L166" s="46">
        <v>1</v>
      </c>
      <c r="M166" s="14">
        <f t="shared" si="64"/>
        <v>3</v>
      </c>
      <c r="N166" s="46">
        <v>4</v>
      </c>
      <c r="O166" s="69" t="s">
        <v>814</v>
      </c>
      <c r="P166" s="67">
        <v>0.42520000000000002</v>
      </c>
      <c r="Q166" s="15">
        <f t="shared" si="79"/>
        <v>1.7008000000000001</v>
      </c>
      <c r="R166" s="46"/>
      <c r="S166" s="20"/>
    </row>
    <row r="167" spans="1:26" s="68" customFormat="1" x14ac:dyDescent="0.25">
      <c r="A167" s="63"/>
      <c r="B167" s="64">
        <f t="shared" ref="B167:B172" si="80">ROW(B167) - ROW($B$7)</f>
        <v>160</v>
      </c>
      <c r="C167" s="23" t="s">
        <v>792</v>
      </c>
      <c r="D167" s="14" t="s">
        <v>796</v>
      </c>
      <c r="E167" s="43" t="s">
        <v>797</v>
      </c>
      <c r="F167" s="21" t="s">
        <v>790</v>
      </c>
      <c r="G167" s="43" t="s">
        <v>790</v>
      </c>
      <c r="H167" s="14" t="s">
        <v>798</v>
      </c>
      <c r="I167" s="14" t="s">
        <v>790</v>
      </c>
      <c r="J167" s="14"/>
      <c r="K167" s="43" t="s">
        <v>790</v>
      </c>
      <c r="L167" s="14">
        <v>1</v>
      </c>
      <c r="M167" s="14">
        <f t="shared" si="64"/>
        <v>3</v>
      </c>
      <c r="N167" s="14">
        <v>3</v>
      </c>
      <c r="O167" s="53" t="s">
        <v>815</v>
      </c>
      <c r="P167" s="15">
        <v>9.8699999999999992</v>
      </c>
      <c r="Q167" s="15">
        <f t="shared" si="79"/>
        <v>29.61</v>
      </c>
      <c r="R167" s="14"/>
      <c r="S167" s="20"/>
      <c r="U167"/>
      <c r="V167"/>
      <c r="W167"/>
      <c r="X167"/>
      <c r="Y167"/>
      <c r="Z167"/>
    </row>
    <row r="168" spans="1:26" s="68" customFormat="1" x14ac:dyDescent="0.25">
      <c r="A168" s="63"/>
      <c r="B168" s="64">
        <f t="shared" si="80"/>
        <v>161</v>
      </c>
      <c r="C168" s="23" t="s">
        <v>792</v>
      </c>
      <c r="D168" s="14" t="s">
        <v>799</v>
      </c>
      <c r="E168" s="43" t="s">
        <v>800</v>
      </c>
      <c r="F168" s="21" t="s">
        <v>790</v>
      </c>
      <c r="G168" s="43" t="s">
        <v>801</v>
      </c>
      <c r="H168" s="14" t="s">
        <v>802</v>
      </c>
      <c r="I168" s="14" t="s">
        <v>790</v>
      </c>
      <c r="J168" s="14"/>
      <c r="K168" s="43" t="s">
        <v>790</v>
      </c>
      <c r="L168" s="14">
        <v>1</v>
      </c>
      <c r="M168" s="14">
        <f t="shared" si="64"/>
        <v>3</v>
      </c>
      <c r="N168" s="14">
        <v>3</v>
      </c>
      <c r="O168" s="53" t="s">
        <v>816</v>
      </c>
      <c r="P168" s="15">
        <v>99</v>
      </c>
      <c r="Q168" s="15">
        <f t="shared" si="79"/>
        <v>297</v>
      </c>
      <c r="R168" s="14"/>
      <c r="S168" s="20"/>
      <c r="U168"/>
      <c r="V168"/>
      <c r="W168"/>
      <c r="X168"/>
      <c r="Y168"/>
      <c r="Z168"/>
    </row>
    <row r="169" spans="1:26" x14ac:dyDescent="0.25">
      <c r="A169" s="1"/>
      <c r="B169" s="16">
        <f t="shared" si="80"/>
        <v>162</v>
      </c>
      <c r="C169" s="23" t="s">
        <v>792</v>
      </c>
      <c r="D169" s="14" t="s">
        <v>790</v>
      </c>
      <c r="E169" s="43" t="s">
        <v>803</v>
      </c>
      <c r="F169" s="21"/>
      <c r="G169" s="43" t="s">
        <v>804</v>
      </c>
      <c r="H169" s="14" t="s">
        <v>805</v>
      </c>
      <c r="I169" s="14" t="s">
        <v>790</v>
      </c>
      <c r="J169" s="14"/>
      <c r="K169" s="43"/>
      <c r="L169" s="14">
        <v>1</v>
      </c>
      <c r="M169" s="14">
        <f t="shared" si="64"/>
        <v>3</v>
      </c>
      <c r="N169" s="14">
        <v>3</v>
      </c>
      <c r="O169" s="52" t="s">
        <v>805</v>
      </c>
      <c r="P169" s="15"/>
      <c r="Q169" s="15">
        <f t="shared" si="79"/>
        <v>0</v>
      </c>
      <c r="R169" s="14"/>
      <c r="S169" s="20"/>
    </row>
    <row r="170" spans="1:26" ht="24" x14ac:dyDescent="0.25">
      <c r="A170" s="1"/>
      <c r="B170" s="16">
        <f t="shared" si="80"/>
        <v>163</v>
      </c>
      <c r="C170" s="23" t="s">
        <v>792</v>
      </c>
      <c r="D170" s="14" t="s">
        <v>790</v>
      </c>
      <c r="E170" s="43" t="s">
        <v>806</v>
      </c>
      <c r="F170" s="21" t="s">
        <v>790</v>
      </c>
      <c r="G170" s="43" t="s">
        <v>807</v>
      </c>
      <c r="H170" s="14" t="s">
        <v>808</v>
      </c>
      <c r="I170" s="14" t="s">
        <v>790</v>
      </c>
      <c r="J170" s="14"/>
      <c r="K170" s="43"/>
      <c r="L170" s="14">
        <v>1</v>
      </c>
      <c r="M170" s="14">
        <f t="shared" si="64"/>
        <v>3</v>
      </c>
      <c r="N170" s="14">
        <v>3</v>
      </c>
      <c r="O170" s="52" t="s">
        <v>808</v>
      </c>
      <c r="P170" s="15"/>
      <c r="Q170" s="15">
        <f t="shared" si="79"/>
        <v>0</v>
      </c>
      <c r="R170" s="14"/>
      <c r="S170" s="20"/>
    </row>
    <row r="171" spans="1:26" ht="48" x14ac:dyDescent="0.25">
      <c r="A171" s="1"/>
      <c r="B171" s="16">
        <f t="shared" si="80"/>
        <v>164</v>
      </c>
      <c r="C171" s="23" t="s">
        <v>792</v>
      </c>
      <c r="D171" s="14" t="s">
        <v>790</v>
      </c>
      <c r="E171" s="43" t="s">
        <v>861</v>
      </c>
      <c r="F171" s="21" t="s">
        <v>790</v>
      </c>
      <c r="G171" s="43" t="s">
        <v>862</v>
      </c>
      <c r="H171" s="14" t="s">
        <v>790</v>
      </c>
      <c r="I171" s="14" t="s">
        <v>790</v>
      </c>
      <c r="J171" s="14" t="s">
        <v>790</v>
      </c>
      <c r="K171" s="43" t="s">
        <v>790</v>
      </c>
      <c r="L171" s="14">
        <v>4</v>
      </c>
      <c r="M171" s="14">
        <f t="shared" si="64"/>
        <v>12</v>
      </c>
      <c r="N171" s="14">
        <v>100</v>
      </c>
      <c r="O171" s="53" t="s">
        <v>815</v>
      </c>
      <c r="P171" s="15">
        <v>2.3199999999999998</v>
      </c>
      <c r="Q171" s="15">
        <f t="shared" si="79"/>
        <v>231.99999999999997</v>
      </c>
      <c r="R171" s="14"/>
      <c r="S171" s="20"/>
    </row>
    <row r="172" spans="1:26" ht="24.75" thickBot="1" x14ac:dyDescent="0.3">
      <c r="A172" s="1"/>
      <c r="B172" s="16">
        <f t="shared" si="80"/>
        <v>165</v>
      </c>
      <c r="C172" s="23" t="s">
        <v>792</v>
      </c>
      <c r="D172" s="14" t="s">
        <v>790</v>
      </c>
      <c r="E172" s="43" t="s">
        <v>809</v>
      </c>
      <c r="F172" s="21" t="s">
        <v>790</v>
      </c>
      <c r="G172" s="43" t="s">
        <v>810</v>
      </c>
      <c r="H172" s="14" t="s">
        <v>811</v>
      </c>
      <c r="I172" s="14" t="s">
        <v>790</v>
      </c>
      <c r="J172" s="14"/>
      <c r="K172" s="43"/>
      <c r="L172" s="14">
        <v>1</v>
      </c>
      <c r="M172" s="14">
        <f t="shared" si="64"/>
        <v>3</v>
      </c>
      <c r="N172" s="14">
        <v>3</v>
      </c>
      <c r="O172" s="52" t="s">
        <v>817</v>
      </c>
      <c r="P172" s="15"/>
      <c r="Q172" s="15">
        <f t="shared" si="79"/>
        <v>0</v>
      </c>
      <c r="R172" s="14"/>
      <c r="S172" s="20"/>
    </row>
    <row r="173" spans="1:26" ht="19.5" thickBo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73" t="s">
        <v>3</v>
      </c>
      <c r="O173" s="74"/>
      <c r="P173" s="74"/>
      <c r="Q173" s="18">
        <f>SUM(Q8:Q172)</f>
        <v>880.01450000000023</v>
      </c>
      <c r="R173" s="1"/>
      <c r="S173" s="1"/>
    </row>
    <row r="174" spans="1:26" ht="19.5" thickBo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73" t="s">
        <v>4</v>
      </c>
      <c r="O174" s="74"/>
      <c r="P174" s="74"/>
      <c r="Q174" s="19">
        <f>Q173/3</f>
        <v>293.33816666666672</v>
      </c>
      <c r="R174" s="1"/>
      <c r="S174" s="1"/>
    </row>
    <row r="175" spans="1:26" x14ac:dyDescent="0.25">
      <c r="A175" s="1"/>
    </row>
    <row r="176" spans="1:26" x14ac:dyDescent="0.25">
      <c r="A176" s="1"/>
    </row>
    <row r="186" spans="13:13" x14ac:dyDescent="0.25">
      <c r="M186" s="39"/>
    </row>
  </sheetData>
  <mergeCells count="4">
    <mergeCell ref="K1:S1"/>
    <mergeCell ref="N173:P173"/>
    <mergeCell ref="N174:P174"/>
    <mergeCell ref="S2:S6"/>
  </mergeCells>
  <hyperlinks>
    <hyperlink ref="O30" r:id="rId1"/>
    <hyperlink ref="O39" r:id="rId2"/>
    <hyperlink ref="O40" r:id="rId3"/>
    <hyperlink ref="O44" r:id="rId4"/>
    <hyperlink ref="O45" r:id="rId5"/>
    <hyperlink ref="O46" r:id="rId6"/>
    <hyperlink ref="O49" r:id="rId7"/>
    <hyperlink ref="O53" r:id="rId8"/>
    <hyperlink ref="O54" r:id="rId9"/>
    <hyperlink ref="O57" r:id="rId10"/>
    <hyperlink ref="O58" r:id="rId11"/>
    <hyperlink ref="O59" r:id="rId12"/>
    <hyperlink ref="O60" r:id="rId13"/>
    <hyperlink ref="O62" r:id="rId14"/>
    <hyperlink ref="O63" r:id="rId15"/>
    <hyperlink ref="O64" r:id="rId16"/>
    <hyperlink ref="O67" r:id="rId17"/>
    <hyperlink ref="O68" r:id="rId18"/>
    <hyperlink ref="O69" r:id="rId19"/>
    <hyperlink ref="O70" r:id="rId20"/>
    <hyperlink ref="O71" r:id="rId21"/>
    <hyperlink ref="O73" r:id="rId22"/>
    <hyperlink ref="O74" r:id="rId23"/>
    <hyperlink ref="O79" r:id="rId24"/>
    <hyperlink ref="O80" r:id="rId25"/>
    <hyperlink ref="O81" r:id="rId26"/>
    <hyperlink ref="O82" r:id="rId27"/>
    <hyperlink ref="O86" r:id="rId28"/>
    <hyperlink ref="O88" r:id="rId29"/>
    <hyperlink ref="O93" r:id="rId30"/>
    <hyperlink ref="O136" r:id="rId31"/>
    <hyperlink ref="O141" r:id="rId32"/>
    <hyperlink ref="O148" r:id="rId33"/>
    <hyperlink ref="O149" r:id="rId34"/>
    <hyperlink ref="O150" r:id="rId35"/>
    <hyperlink ref="O151" r:id="rId36"/>
    <hyperlink ref="O154" r:id="rId37"/>
    <hyperlink ref="O161" r:id="rId38"/>
    <hyperlink ref="O170" r:id="rId39"/>
    <hyperlink ref="O169" r:id="rId40"/>
    <hyperlink ref="O172" r:id="rId41"/>
    <hyperlink ref="O167" r:id="rId42"/>
    <hyperlink ref="O166" r:id="rId43"/>
    <hyperlink ref="O8" r:id="rId44"/>
    <hyperlink ref="O9" r:id="rId45"/>
    <hyperlink ref="O10" r:id="rId46"/>
    <hyperlink ref="O11" r:id="rId47"/>
    <hyperlink ref="O13" r:id="rId48"/>
    <hyperlink ref="O14" r:id="rId49"/>
    <hyperlink ref="O15" r:id="rId50"/>
    <hyperlink ref="O16" r:id="rId51"/>
    <hyperlink ref="O17" r:id="rId52"/>
    <hyperlink ref="O18" r:id="rId53"/>
    <hyperlink ref="O19" r:id="rId54"/>
    <hyperlink ref="O20" r:id="rId55"/>
    <hyperlink ref="O21" r:id="rId56"/>
    <hyperlink ref="O22" r:id="rId57"/>
    <hyperlink ref="O23" r:id="rId58"/>
    <hyperlink ref="O24" r:id="rId59"/>
    <hyperlink ref="O25" r:id="rId60"/>
    <hyperlink ref="O26" r:id="rId61"/>
    <hyperlink ref="O27" r:id="rId62"/>
    <hyperlink ref="O29" r:id="rId63"/>
    <hyperlink ref="O31" r:id="rId64"/>
    <hyperlink ref="O32" r:id="rId65"/>
    <hyperlink ref="O33" r:id="rId66"/>
    <hyperlink ref="O34" r:id="rId67"/>
    <hyperlink ref="O35" r:id="rId68"/>
    <hyperlink ref="O36" r:id="rId69"/>
    <hyperlink ref="O37" r:id="rId70"/>
    <hyperlink ref="O41" r:id="rId71"/>
    <hyperlink ref="O42" r:id="rId72"/>
    <hyperlink ref="O43" r:id="rId73"/>
    <hyperlink ref="O47" r:id="rId74"/>
    <hyperlink ref="O48" r:id="rId75"/>
    <hyperlink ref="O50" r:id="rId76"/>
    <hyperlink ref="O51" r:id="rId77"/>
    <hyperlink ref="O52" r:id="rId78"/>
    <hyperlink ref="O55" r:id="rId79"/>
    <hyperlink ref="O65" r:id="rId80"/>
    <hyperlink ref="O66" r:id="rId81"/>
    <hyperlink ref="O72" r:id="rId82"/>
    <hyperlink ref="O75" r:id="rId83"/>
    <hyperlink ref="O77" r:id="rId84"/>
    <hyperlink ref="O78" r:id="rId85"/>
    <hyperlink ref="O87" r:id="rId86"/>
    <hyperlink ref="O90" r:id="rId87"/>
    <hyperlink ref="O89" r:id="rId88"/>
    <hyperlink ref="O91" r:id="rId89"/>
    <hyperlink ref="O92" r:id="rId90"/>
    <hyperlink ref="O94" r:id="rId91"/>
    <hyperlink ref="O95" r:id="rId92"/>
    <hyperlink ref="O96" r:id="rId93"/>
    <hyperlink ref="O97" r:id="rId94"/>
    <hyperlink ref="O98" r:id="rId95"/>
    <hyperlink ref="O99" r:id="rId96"/>
    <hyperlink ref="O102" r:id="rId97"/>
    <hyperlink ref="O103" r:id="rId98"/>
    <hyperlink ref="O104" r:id="rId99"/>
    <hyperlink ref="O105" r:id="rId100"/>
    <hyperlink ref="O106" r:id="rId101"/>
    <hyperlink ref="O107" r:id="rId102"/>
    <hyperlink ref="O108" r:id="rId103"/>
    <hyperlink ref="O110" r:id="rId104"/>
    <hyperlink ref="O111" r:id="rId105"/>
    <hyperlink ref="O114" r:id="rId106"/>
    <hyperlink ref="O116" r:id="rId107"/>
    <hyperlink ref="O117" r:id="rId108"/>
    <hyperlink ref="O118" r:id="rId109"/>
    <hyperlink ref="O120" r:id="rId110"/>
    <hyperlink ref="O121" r:id="rId111"/>
    <hyperlink ref="O122" r:id="rId112"/>
    <hyperlink ref="O123" r:id="rId113"/>
    <hyperlink ref="O124" r:id="rId114"/>
    <hyperlink ref="O125" r:id="rId115"/>
    <hyperlink ref="O126" r:id="rId116"/>
    <hyperlink ref="O127" r:id="rId117"/>
    <hyperlink ref="O128" r:id="rId118"/>
    <hyperlink ref="O129" r:id="rId119"/>
    <hyperlink ref="O130" r:id="rId120"/>
    <hyperlink ref="O131" r:id="rId121"/>
    <hyperlink ref="O132" r:id="rId122"/>
    <hyperlink ref="O133" r:id="rId123"/>
    <hyperlink ref="O134" r:id="rId124"/>
    <hyperlink ref="O138" r:id="rId125"/>
    <hyperlink ref="O139" r:id="rId126"/>
    <hyperlink ref="O140" r:id="rId127"/>
    <hyperlink ref="O142" r:id="rId128"/>
    <hyperlink ref="O143" r:id="rId129"/>
    <hyperlink ref="O147" r:id="rId130"/>
    <hyperlink ref="O152" r:id="rId131"/>
    <hyperlink ref="O153" r:id="rId132"/>
    <hyperlink ref="O156" r:id="rId133"/>
    <hyperlink ref="O157" r:id="rId134"/>
    <hyperlink ref="O158" r:id="rId135"/>
    <hyperlink ref="O159" r:id="rId136"/>
    <hyperlink ref="O160" r:id="rId137"/>
    <hyperlink ref="O162" r:id="rId138"/>
    <hyperlink ref="O163" r:id="rId139"/>
    <hyperlink ref="O164" r:id="rId140"/>
    <hyperlink ref="O12" r:id="rId141"/>
    <hyperlink ref="O61" r:id="rId142"/>
    <hyperlink ref="O83" r:id="rId143"/>
    <hyperlink ref="O84" r:id="rId144"/>
    <hyperlink ref="O85" r:id="rId145"/>
    <hyperlink ref="O135" r:id="rId146"/>
    <hyperlink ref="O144" r:id="rId147"/>
    <hyperlink ref="O145" r:id="rId148"/>
    <hyperlink ref="O146" r:id="rId149"/>
    <hyperlink ref="O155" r:id="rId150"/>
    <hyperlink ref="O109" r:id="rId151"/>
    <hyperlink ref="O113" r:id="rId152"/>
    <hyperlink ref="O165" r:id="rId153"/>
    <hyperlink ref="O119" r:id="rId154"/>
    <hyperlink ref="O76" r:id="rId155"/>
    <hyperlink ref="O28" r:id="rId156"/>
    <hyperlink ref="O171" r:id="rId157"/>
    <hyperlink ref="O38" r:id="rId158"/>
    <hyperlink ref="O56" r:id="rId159"/>
    <hyperlink ref="O137" r:id="rId160"/>
  </hyperlinks>
  <pageMargins left="0.7" right="0.7" top="0.75" bottom="0.75" header="0.3" footer="0.3"/>
  <pageSetup paperSize="9" orientation="portrait" r:id="rId161"/>
  <drawing r:id="rId1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2024-06-12T13:51:17Z</dcterms:modified>
</cp:coreProperties>
</file>